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ofwaterloo-my.sharepoint.com/personal/j2537li_uwaterloo_ca/Documents/Graduate Studies/Fall 2025/ECON 607/Project 1/Final Version/"/>
    </mc:Choice>
  </mc:AlternateContent>
  <xr:revisionPtr revIDLastSave="2782" documentId="13_ncr:1_{2CFAC571-44E8-4C4D-BFDF-D73DF758D29D}" xr6:coauthVersionLast="47" xr6:coauthVersionMax="47" xr10:uidLastSave="{CCF2E374-C605-4E9C-89FA-A6822B382E8E}"/>
  <bookViews>
    <workbookView xWindow="-110" yWindow="-110" windowWidth="19420" windowHeight="10300" tabRatio="500" firstSheet="12" activeTab="12" xr2:uid="{00000000-000D-0000-FFFF-FFFF00000000}"/>
  </bookViews>
  <sheets>
    <sheet name="Weighting Reg Results" sheetId="17" r:id="rId1"/>
    <sheet name="Points Schedule" sheetId="7" r:id="rId2"/>
    <sheet name="Clusters" sheetId="12" r:id="rId3"/>
    <sheet name="Data" sheetId="9" r:id="rId4"/>
    <sheet name="Benchmarks" sheetId="19" r:id="rId5"/>
    <sheet name="Benchmark-Points Regression" sheetId="29" r:id="rId6"/>
    <sheet name="Internal-Points Regression" sheetId="28" r:id="rId7"/>
    <sheet name="Pay Structure" sheetId="25" r:id="rId8"/>
    <sheet name="Internal Compa-ratios" sheetId="30" r:id="rId9"/>
    <sheet name="Benchmarking Calculations" sheetId="33" r:id="rId10"/>
    <sheet name="Internal vs External compa" sheetId="38" r:id="rId11"/>
    <sheet name="Budget" sheetId="31" r:id="rId12"/>
    <sheet name="Pay Equity" sheetId="35" r:id="rId13"/>
    <sheet name="PV Regression Results" sheetId="37" r:id="rId14"/>
    <sheet name="PV Regression Data" sheetId="3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9" l="1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" i="29"/>
  <c r="P3" i="29"/>
  <c r="P4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" i="29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" i="29"/>
  <c r="N3" i="29"/>
  <c r="N4" i="29"/>
  <c r="N5" i="29"/>
  <c r="N6" i="29"/>
  <c r="N7" i="29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" i="29"/>
  <c r="F2" i="19"/>
  <c r="F4" i="19"/>
  <c r="F5" i="19"/>
  <c r="F11" i="19"/>
  <c r="F12" i="19"/>
  <c r="F13" i="19"/>
  <c r="F8" i="19"/>
  <c r="F15" i="19"/>
  <c r="F7" i="19"/>
  <c r="F6" i="19"/>
  <c r="F14" i="19"/>
  <c r="F9" i="19"/>
  <c r="F16" i="19"/>
  <c r="F17" i="19"/>
  <c r="F19" i="19"/>
  <c r="F10" i="19"/>
  <c r="F18" i="19"/>
  <c r="F20" i="19"/>
  <c r="F21" i="19"/>
  <c r="F22" i="19"/>
  <c r="F23" i="19"/>
  <c r="F3" i="19"/>
  <c r="E2" i="19"/>
  <c r="E4" i="19"/>
  <c r="E5" i="19"/>
  <c r="E11" i="19"/>
  <c r="E24" i="19"/>
  <c r="E12" i="19"/>
  <c r="E13" i="19"/>
  <c r="E8" i="19"/>
  <c r="E25" i="19"/>
  <c r="E15" i="19"/>
  <c r="E7" i="19"/>
  <c r="E26" i="19"/>
  <c r="E6" i="19"/>
  <c r="E14" i="19"/>
  <c r="E27" i="19"/>
  <c r="E28" i="19"/>
  <c r="E29" i="19"/>
  <c r="E9" i="19"/>
  <c r="E30" i="19"/>
  <c r="E31" i="19"/>
  <c r="E32" i="19"/>
  <c r="E33" i="19"/>
  <c r="E34" i="19"/>
  <c r="E35" i="19"/>
  <c r="E16" i="19"/>
  <c r="E17" i="19"/>
  <c r="E19" i="19"/>
  <c r="E10" i="19"/>
  <c r="E36" i="19"/>
  <c r="E18" i="19"/>
  <c r="E37" i="19"/>
  <c r="E38" i="19"/>
  <c r="E20" i="19"/>
  <c r="E39" i="19"/>
  <c r="E40" i="19"/>
  <c r="E41" i="19"/>
  <c r="E42" i="19"/>
  <c r="E21" i="19"/>
  <c r="E43" i="19"/>
  <c r="E44" i="19"/>
  <c r="E22" i="19"/>
  <c r="E45" i="19"/>
  <c r="E23" i="19"/>
  <c r="E3" i="19"/>
  <c r="D2" i="19"/>
  <c r="D4" i="19"/>
  <c r="D5" i="19"/>
  <c r="D11" i="19"/>
  <c r="D24" i="19"/>
  <c r="D12" i="19"/>
  <c r="D13" i="19"/>
  <c r="D8" i="19"/>
  <c r="D25" i="19"/>
  <c r="D15" i="19"/>
  <c r="D7" i="19"/>
  <c r="D26" i="19"/>
  <c r="D6" i="19"/>
  <c r="D14" i="19"/>
  <c r="D27" i="19"/>
  <c r="D28" i="19"/>
  <c r="D29" i="19"/>
  <c r="D9" i="19"/>
  <c r="D30" i="19"/>
  <c r="D31" i="19"/>
  <c r="D32" i="19"/>
  <c r="D33" i="19"/>
  <c r="D34" i="19"/>
  <c r="D35" i="19"/>
  <c r="D16" i="19"/>
  <c r="D17" i="19"/>
  <c r="D19" i="19"/>
  <c r="D10" i="19"/>
  <c r="D36" i="19"/>
  <c r="D18" i="19"/>
  <c r="D37" i="19"/>
  <c r="D38" i="19"/>
  <c r="D20" i="19"/>
  <c r="D39" i="19"/>
  <c r="D40" i="19"/>
  <c r="D41" i="19"/>
  <c r="D42" i="19"/>
  <c r="D21" i="19"/>
  <c r="D43" i="19"/>
  <c r="D44" i="19"/>
  <c r="D22" i="19"/>
  <c r="D45" i="19"/>
  <c r="D23" i="19"/>
  <c r="D3" i="19"/>
  <c r="C2" i="19"/>
  <c r="C4" i="19"/>
  <c r="C5" i="19"/>
  <c r="C11" i="19"/>
  <c r="C24" i="19"/>
  <c r="C12" i="19"/>
  <c r="C13" i="19"/>
  <c r="C8" i="19"/>
  <c r="C25" i="19"/>
  <c r="C15" i="19"/>
  <c r="C7" i="19"/>
  <c r="C26" i="19"/>
  <c r="C6" i="19"/>
  <c r="C14" i="19"/>
  <c r="C27" i="19"/>
  <c r="C28" i="19"/>
  <c r="C29" i="19"/>
  <c r="C9" i="19"/>
  <c r="C30" i="19"/>
  <c r="C31" i="19"/>
  <c r="C32" i="19"/>
  <c r="C33" i="19"/>
  <c r="C34" i="19"/>
  <c r="C35" i="19"/>
  <c r="C16" i="19"/>
  <c r="C17" i="19"/>
  <c r="C19" i="19"/>
  <c r="C10" i="19"/>
  <c r="C36" i="19"/>
  <c r="C18" i="19"/>
  <c r="C37" i="19"/>
  <c r="C38" i="19"/>
  <c r="C20" i="19"/>
  <c r="C39" i="19"/>
  <c r="C40" i="19"/>
  <c r="C41" i="19"/>
  <c r="C42" i="19"/>
  <c r="C21" i="19"/>
  <c r="C43" i="19"/>
  <c r="C44" i="19"/>
  <c r="C22" i="19"/>
  <c r="C45" i="19"/>
  <c r="C23" i="19"/>
  <c r="C3" i="19"/>
  <c r="B2" i="19"/>
  <c r="B4" i="19"/>
  <c r="B5" i="19"/>
  <c r="B11" i="19"/>
  <c r="B24" i="19"/>
  <c r="B12" i="19"/>
  <c r="B13" i="19"/>
  <c r="B8" i="19"/>
  <c r="B25" i="19"/>
  <c r="B15" i="19"/>
  <c r="B7" i="19"/>
  <c r="B26" i="19"/>
  <c r="B6" i="19"/>
  <c r="B14" i="19"/>
  <c r="B27" i="19"/>
  <c r="B28" i="19"/>
  <c r="B29" i="19"/>
  <c r="B9" i="19"/>
  <c r="B30" i="19"/>
  <c r="B31" i="19"/>
  <c r="B32" i="19"/>
  <c r="B33" i="19"/>
  <c r="B34" i="19"/>
  <c r="B35" i="19"/>
  <c r="B16" i="19"/>
  <c r="B17" i="19"/>
  <c r="B19" i="19"/>
  <c r="B10" i="19"/>
  <c r="B36" i="19"/>
  <c r="B18" i="19"/>
  <c r="B37" i="19"/>
  <c r="B38" i="19"/>
  <c r="B20" i="19"/>
  <c r="B39" i="19"/>
  <c r="B40" i="19"/>
  <c r="B41" i="19"/>
  <c r="B42" i="19"/>
  <c r="B21" i="19"/>
  <c r="B43" i="19"/>
  <c r="B44" i="19"/>
  <c r="B22" i="19"/>
  <c r="B45" i="19"/>
  <c r="B23" i="19"/>
  <c r="B3" i="19"/>
  <c r="A2" i="19"/>
  <c r="A4" i="19"/>
  <c r="A5" i="19"/>
  <c r="A11" i="19"/>
  <c r="A24" i="19"/>
  <c r="A12" i="19"/>
  <c r="A13" i="19"/>
  <c r="A8" i="19"/>
  <c r="A25" i="19"/>
  <c r="A15" i="19"/>
  <c r="A7" i="19"/>
  <c r="A26" i="19"/>
  <c r="A6" i="19"/>
  <c r="A14" i="19"/>
  <c r="A27" i="19"/>
  <c r="A28" i="19"/>
  <c r="A29" i="19"/>
  <c r="A9" i="19"/>
  <c r="A30" i="19"/>
  <c r="A31" i="19"/>
  <c r="A32" i="19"/>
  <c r="A33" i="19"/>
  <c r="A34" i="19"/>
  <c r="A35" i="19"/>
  <c r="A16" i="19"/>
  <c r="A17" i="19"/>
  <c r="A19" i="19"/>
  <c r="A10" i="19"/>
  <c r="A36" i="19"/>
  <c r="A18" i="19"/>
  <c r="A37" i="19"/>
  <c r="A38" i="19"/>
  <c r="A20" i="19"/>
  <c r="A39" i="19"/>
  <c r="A40" i="19"/>
  <c r="A41" i="19"/>
  <c r="A42" i="19"/>
  <c r="A21" i="19"/>
  <c r="A43" i="19"/>
  <c r="A44" i="19"/>
  <c r="A22" i="19"/>
  <c r="A45" i="19"/>
  <c r="A23" i="19"/>
  <c r="A3" i="19"/>
  <c r="M4" i="35" l="1"/>
  <c r="M5" i="35"/>
  <c r="D27" i="38"/>
  <c r="D29" i="38"/>
  <c r="D2" i="38"/>
  <c r="D28" i="38"/>
  <c r="D20" i="38"/>
  <c r="D3" i="38"/>
  <c r="D35" i="38"/>
  <c r="D13" i="38"/>
  <c r="D15" i="38"/>
  <c r="D5" i="38"/>
  <c r="D4" i="38"/>
  <c r="D16" i="38"/>
  <c r="D30" i="38"/>
  <c r="D43" i="38"/>
  <c r="D45" i="38"/>
  <c r="D40" i="38"/>
  <c r="D12" i="38"/>
  <c r="D32" i="38"/>
  <c r="D6" i="38"/>
  <c r="D9" i="38"/>
  <c r="D8" i="38"/>
  <c r="D10" i="38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2" i="38"/>
  <c r="A3" i="38"/>
  <c r="A4" i="38"/>
  <c r="A5" i="38"/>
  <c r="A6" i="38"/>
  <c r="A7" i="38"/>
  <c r="A8" i="38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2" i="38"/>
  <c r="I182" i="33"/>
  <c r="I169" i="33"/>
  <c r="I162" i="33"/>
  <c r="I152" i="33"/>
  <c r="I142" i="33"/>
  <c r="I132" i="33"/>
  <c r="I122" i="33"/>
  <c r="I109" i="33"/>
  <c r="I100" i="33"/>
  <c r="I92" i="33"/>
  <c r="I82" i="33"/>
  <c r="I72" i="33"/>
  <c r="I64" i="33"/>
  <c r="I57" i="33"/>
  <c r="I49" i="33"/>
  <c r="I41" i="33"/>
  <c r="I31" i="33"/>
  <c r="I24" i="33"/>
  <c r="I17" i="33"/>
  <c r="I10" i="33"/>
  <c r="C178" i="33"/>
  <c r="C165" i="33"/>
  <c r="C155" i="33"/>
  <c r="C145" i="33"/>
  <c r="C135" i="33"/>
  <c r="C125" i="33"/>
  <c r="C112" i="33"/>
  <c r="C103" i="33"/>
  <c r="C95" i="33"/>
  <c r="C85" i="33"/>
  <c r="C75" i="33"/>
  <c r="C67" i="33"/>
  <c r="C60" i="33"/>
  <c r="C52" i="33"/>
  <c r="C44" i="33"/>
  <c r="C34" i="33"/>
  <c r="C27" i="33"/>
  <c r="C20" i="33"/>
  <c r="C13" i="33"/>
  <c r="C3" i="33"/>
  <c r="E24" i="33"/>
  <c r="C24" i="33" s="1"/>
  <c r="K4" i="35"/>
  <c r="L4" i="35" s="1"/>
  <c r="K5" i="35"/>
  <c r="L5" i="35" s="1"/>
  <c r="N5" i="35" l="1"/>
  <c r="N4" i="35"/>
  <c r="E13" i="36"/>
  <c r="E10" i="36"/>
  <c r="E9" i="36"/>
  <c r="E8" i="36"/>
  <c r="E7" i="36"/>
  <c r="E6" i="36"/>
  <c r="E5" i="36"/>
  <c r="E4" i="36"/>
  <c r="E3" i="36"/>
  <c r="E2" i="36"/>
  <c r="K39" i="35"/>
  <c r="K36" i="35"/>
  <c r="K35" i="35"/>
  <c r="K32" i="35"/>
  <c r="K31" i="35"/>
  <c r="K30" i="35"/>
  <c r="K27" i="35"/>
  <c r="K25" i="35"/>
  <c r="K21" i="35"/>
  <c r="K19" i="35"/>
  <c r="K18" i="35"/>
  <c r="K15" i="35"/>
  <c r="K14" i="35"/>
  <c r="K13" i="35"/>
  <c r="K11" i="35"/>
  <c r="F7" i="35"/>
  <c r="M7" i="35" s="1"/>
  <c r="D6" i="30"/>
  <c r="C3" i="30"/>
  <c r="C4" i="30"/>
  <c r="C5" i="30"/>
  <c r="C6" i="30"/>
  <c r="C7" i="30"/>
  <c r="C8" i="30"/>
  <c r="C9" i="30"/>
  <c r="C10" i="30"/>
  <c r="C11" i="30"/>
  <c r="C12" i="30"/>
  <c r="C13" i="30"/>
  <c r="I13" i="30" s="1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2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2" i="30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2" i="30"/>
  <c r="E182" i="33"/>
  <c r="C182" i="33" s="1"/>
  <c r="E169" i="33"/>
  <c r="C169" i="33" s="1"/>
  <c r="E162" i="33"/>
  <c r="C162" i="33" s="1"/>
  <c r="E152" i="33"/>
  <c r="C152" i="33" s="1"/>
  <c r="E142" i="33"/>
  <c r="C142" i="33" s="1"/>
  <c r="E132" i="33"/>
  <c r="C132" i="33" s="1"/>
  <c r="E122" i="33"/>
  <c r="C122" i="33" s="1"/>
  <c r="E109" i="33"/>
  <c r="C109" i="33" s="1"/>
  <c r="E100" i="33"/>
  <c r="C100" i="33" s="1"/>
  <c r="E92" i="33"/>
  <c r="C92" i="33" s="1"/>
  <c r="E82" i="33"/>
  <c r="C82" i="33" s="1"/>
  <c r="E72" i="33"/>
  <c r="C72" i="33" s="1"/>
  <c r="E64" i="33"/>
  <c r="C64" i="33" s="1"/>
  <c r="E57" i="33"/>
  <c r="C57" i="33" s="1"/>
  <c r="E49" i="33"/>
  <c r="C49" i="33" s="1"/>
  <c r="E41" i="33"/>
  <c r="C41" i="33" s="1"/>
  <c r="E31" i="33"/>
  <c r="C31" i="33" s="1"/>
  <c r="E17" i="33"/>
  <c r="C17" i="33" s="1"/>
  <c r="E10" i="33"/>
  <c r="C10" i="33" s="1"/>
  <c r="L11" i="35" l="1"/>
  <c r="L14" i="35"/>
  <c r="L31" i="35"/>
  <c r="L15" i="35"/>
  <c r="L32" i="35"/>
  <c r="L18" i="35"/>
  <c r="L35" i="35"/>
  <c r="L19" i="35"/>
  <c r="L36" i="35"/>
  <c r="L27" i="35"/>
  <c r="L21" i="35"/>
  <c r="L39" i="35"/>
  <c r="L13" i="35"/>
  <c r="L30" i="35"/>
  <c r="L25" i="35"/>
  <c r="I3" i="31"/>
  <c r="I4" i="31"/>
  <c r="I5" i="31"/>
  <c r="I6" i="31"/>
  <c r="I7" i="31"/>
  <c r="I8" i="31"/>
  <c r="I9" i="31"/>
  <c r="I10" i="31"/>
  <c r="I11" i="31"/>
  <c r="I12" i="31"/>
  <c r="I2" i="31"/>
  <c r="H3" i="31"/>
  <c r="H4" i="31"/>
  <c r="H5" i="31"/>
  <c r="H6" i="31"/>
  <c r="H7" i="31"/>
  <c r="H8" i="31"/>
  <c r="H9" i="31"/>
  <c r="H10" i="31"/>
  <c r="H11" i="31"/>
  <c r="H12" i="31"/>
  <c r="H6" i="30"/>
  <c r="E4" i="12" l="1"/>
  <c r="E5" i="12" s="1"/>
  <c r="E6" i="12" s="1"/>
  <c r="E7" i="12" s="1"/>
  <c r="E8" i="12" s="1"/>
  <c r="E9" i="12" s="1"/>
  <c r="E10" i="12" s="1"/>
  <c r="E11" i="12" s="1"/>
  <c r="E12" i="12" s="1"/>
  <c r="E13" i="12" s="1"/>
  <c r="E14" i="12" s="1"/>
  <c r="E3" i="12"/>
  <c r="I3" i="7" l="1"/>
  <c r="J3" i="7" s="1"/>
  <c r="K3" i="7" s="1"/>
  <c r="L3" i="7" s="1"/>
  <c r="Z5" i="9" l="1"/>
  <c r="Z6" i="9"/>
  <c r="Z7" i="9"/>
  <c r="Z16" i="9"/>
  <c r="Z11" i="9"/>
  <c r="Z14" i="9"/>
  <c r="Z17" i="9"/>
  <c r="Z4" i="9"/>
  <c r="Z13" i="9"/>
  <c r="Z9" i="9"/>
  <c r="Z10" i="9"/>
  <c r="Z21" i="9"/>
  <c r="Z28" i="9"/>
  <c r="Z29" i="9"/>
  <c r="Z30" i="9"/>
  <c r="Z31" i="9"/>
  <c r="Z33" i="9"/>
  <c r="Z36" i="9"/>
  <c r="Z41" i="9"/>
  <c r="Z44" i="9"/>
  <c r="Z46" i="9"/>
  <c r="Z3" i="9"/>
  <c r="C2" i="25" s="1"/>
  <c r="R38" i="9"/>
  <c r="R39" i="9"/>
  <c r="S30" i="9"/>
  <c r="R30" i="9"/>
  <c r="S24" i="9"/>
  <c r="R24" i="9"/>
  <c r="Q24" i="9"/>
  <c r="S23" i="9"/>
  <c r="R23" i="9"/>
  <c r="Q23" i="9"/>
  <c r="O23" i="9"/>
  <c r="U25" i="9"/>
  <c r="T25" i="9"/>
  <c r="S25" i="9"/>
  <c r="R25" i="9"/>
  <c r="P25" i="9"/>
  <c r="R43" i="9"/>
  <c r="U3" i="9"/>
  <c r="T3" i="9"/>
  <c r="S3" i="9"/>
  <c r="R3" i="9"/>
  <c r="Q3" i="9"/>
  <c r="P3" i="9"/>
  <c r="O3" i="9"/>
  <c r="N3" i="9"/>
  <c r="V15" i="9"/>
  <c r="U15" i="9"/>
  <c r="S15" i="9"/>
  <c r="Q15" i="9"/>
  <c r="V19" i="9"/>
  <c r="U19" i="9"/>
  <c r="S19" i="9"/>
  <c r="R19" i="9"/>
  <c r="Q19" i="9"/>
  <c r="U22" i="9"/>
  <c r="T22" i="9"/>
  <c r="S22" i="9"/>
  <c r="R22" i="9"/>
  <c r="U29" i="9"/>
  <c r="T29" i="9"/>
  <c r="U21" i="9"/>
  <c r="S21" i="9"/>
  <c r="R21" i="9"/>
  <c r="Q21" i="9"/>
  <c r="N21" i="9"/>
  <c r="V8" i="9"/>
  <c r="S8" i="9"/>
  <c r="R8" i="9"/>
  <c r="Q8" i="9"/>
  <c r="P8" i="9"/>
  <c r="V4" i="9"/>
  <c r="S4" i="9"/>
  <c r="R4" i="9"/>
  <c r="Q4" i="9"/>
  <c r="P4" i="9"/>
  <c r="N4" i="9"/>
  <c r="U17" i="9"/>
  <c r="T17" i="9"/>
  <c r="S17" i="9"/>
  <c r="R17" i="9"/>
  <c r="V16" i="9"/>
  <c r="T16" i="9"/>
  <c r="S16" i="9"/>
  <c r="R16" i="9"/>
  <c r="Q16" i="9"/>
  <c r="O16" i="9"/>
  <c r="N16" i="9"/>
  <c r="U6" i="9"/>
  <c r="T6" i="9"/>
  <c r="S6" i="9"/>
  <c r="Q6" i="9"/>
  <c r="P6" i="9"/>
  <c r="O6" i="9"/>
  <c r="N6" i="9"/>
  <c r="U14" i="9"/>
  <c r="S14" i="9"/>
  <c r="Q14" i="9"/>
  <c r="P14" i="9"/>
  <c r="O14" i="9"/>
  <c r="N14" i="9"/>
  <c r="V5" i="9"/>
  <c r="U5" i="9"/>
  <c r="T5" i="9"/>
  <c r="S5" i="9"/>
  <c r="Q5" i="9"/>
  <c r="P5" i="9"/>
  <c r="O5" i="9"/>
  <c r="N5" i="9"/>
  <c r="S34" i="9"/>
  <c r="S28" i="9"/>
  <c r="R28" i="9"/>
  <c r="Q28" i="9"/>
  <c r="P28" i="9"/>
  <c r="V26" i="9"/>
  <c r="T26" i="9"/>
  <c r="S26" i="9"/>
  <c r="O26" i="9"/>
  <c r="S31" i="9"/>
  <c r="U18" i="9"/>
  <c r="S18" i="9"/>
  <c r="R18" i="9"/>
  <c r="P18" i="9"/>
  <c r="O18" i="9"/>
  <c r="V27" i="9"/>
  <c r="U27" i="9"/>
  <c r="S27" i="9"/>
  <c r="R27" i="9"/>
  <c r="V12" i="9"/>
  <c r="U12" i="9"/>
  <c r="S12" i="9"/>
  <c r="R12" i="9"/>
  <c r="P12" i="9"/>
  <c r="O12" i="9"/>
  <c r="S37" i="9"/>
  <c r="S13" i="9"/>
  <c r="R13" i="9"/>
  <c r="Q13" i="9"/>
  <c r="O13" i="9"/>
  <c r="N13" i="9"/>
  <c r="U20" i="9"/>
  <c r="S20" i="9"/>
  <c r="R20" i="9"/>
  <c r="Q20" i="9"/>
  <c r="P20" i="9"/>
  <c r="U10" i="9"/>
  <c r="S10" i="9"/>
  <c r="Q10" i="9"/>
  <c r="O10" i="9"/>
  <c r="U9" i="9"/>
  <c r="S9" i="9"/>
  <c r="Q9" i="9"/>
  <c r="O9" i="9"/>
  <c r="R42" i="9"/>
  <c r="U33" i="9"/>
  <c r="Q33" i="9"/>
  <c r="N33" i="9"/>
  <c r="S32" i="9"/>
  <c r="R32" i="9"/>
  <c r="V11" i="9"/>
  <c r="U11" i="9"/>
  <c r="S11" i="9"/>
  <c r="Q11" i="9"/>
  <c r="P11" i="9"/>
  <c r="O11" i="9"/>
  <c r="N11" i="9"/>
  <c r="V7" i="9"/>
  <c r="U7" i="9"/>
  <c r="T7" i="9"/>
  <c r="S7" i="9"/>
  <c r="Q7" i="9"/>
  <c r="O7" i="9"/>
  <c r="I11" i="7"/>
  <c r="V29" i="9" s="1"/>
  <c r="J10" i="7"/>
  <c r="K10" i="7" s="1"/>
  <c r="U46" i="9" s="1"/>
  <c r="I10" i="7"/>
  <c r="U38" i="9" s="1"/>
  <c r="I9" i="7"/>
  <c r="T28" i="9" s="1"/>
  <c r="I8" i="7"/>
  <c r="S35" i="9" s="1"/>
  <c r="I7" i="7"/>
  <c r="R14" i="9" s="1"/>
  <c r="I6" i="7"/>
  <c r="Q26" i="9" s="1"/>
  <c r="I5" i="7"/>
  <c r="P17" i="9" s="1"/>
  <c r="J4" i="7"/>
  <c r="K4" i="7" s="1"/>
  <c r="I4" i="7"/>
  <c r="O8" i="9" s="1"/>
  <c r="N30" i="9"/>
  <c r="C13" i="7"/>
  <c r="D9" i="7" s="1"/>
  <c r="F9" i="7" s="1"/>
  <c r="D2" i="25" l="1"/>
  <c r="D2" i="31" s="1"/>
  <c r="C2" i="31"/>
  <c r="B2" i="25"/>
  <c r="B2" i="31" s="1"/>
  <c r="C3" i="25"/>
  <c r="Q22" i="9"/>
  <c r="J6" i="7"/>
  <c r="K6" i="7" s="1"/>
  <c r="L6" i="7" s="1"/>
  <c r="Q46" i="9" s="1"/>
  <c r="Q12" i="9"/>
  <c r="Q29" i="9"/>
  <c r="O20" i="9"/>
  <c r="O21" i="9"/>
  <c r="O15" i="9"/>
  <c r="O40" i="9"/>
  <c r="V32" i="9"/>
  <c r="V9" i="9"/>
  <c r="V34" i="9"/>
  <c r="V23" i="9"/>
  <c r="V33" i="9"/>
  <c r="V20" i="9"/>
  <c r="V18" i="9"/>
  <c r="V25" i="9"/>
  <c r="V13" i="9"/>
  <c r="V10" i="9"/>
  <c r="V3" i="9"/>
  <c r="W3" i="9" s="1"/>
  <c r="V24" i="9"/>
  <c r="V35" i="9"/>
  <c r="U42" i="9"/>
  <c r="U28" i="9"/>
  <c r="U37" i="9"/>
  <c r="U35" i="9"/>
  <c r="U26" i="9"/>
  <c r="U41" i="9"/>
  <c r="U34" i="9"/>
  <c r="U13" i="9"/>
  <c r="U31" i="9"/>
  <c r="U44" i="9"/>
  <c r="J8" i="7"/>
  <c r="K8" i="7" s="1"/>
  <c r="S44" i="9" s="1"/>
  <c r="R9" i="9"/>
  <c r="R33" i="9"/>
  <c r="R6" i="9"/>
  <c r="R7" i="9"/>
  <c r="R10" i="9"/>
  <c r="Q17" i="9"/>
  <c r="Q45" i="9"/>
  <c r="Q36" i="9"/>
  <c r="Q32" i="9"/>
  <c r="Q40" i="9"/>
  <c r="O31" i="9"/>
  <c r="O32" i="9"/>
  <c r="O37" i="9"/>
  <c r="O42" i="9"/>
  <c r="O22" i="9"/>
  <c r="O25" i="9"/>
  <c r="O19" i="9"/>
  <c r="O30" i="9"/>
  <c r="O41" i="9"/>
  <c r="O35" i="9"/>
  <c r="O33" i="9"/>
  <c r="O28" i="9"/>
  <c r="O29" i="9"/>
  <c r="O36" i="9"/>
  <c r="O24" i="9"/>
  <c r="L4" i="7"/>
  <c r="O45" i="9"/>
  <c r="T14" i="9"/>
  <c r="P21" i="9"/>
  <c r="J5" i="7"/>
  <c r="P9" i="9"/>
  <c r="P30" i="9"/>
  <c r="R11" i="9"/>
  <c r="Q42" i="9"/>
  <c r="P13" i="9"/>
  <c r="P27" i="9"/>
  <c r="P31" i="9"/>
  <c r="P26" i="9"/>
  <c r="P35" i="9"/>
  <c r="V14" i="9"/>
  <c r="R15" i="9"/>
  <c r="Q43" i="9"/>
  <c r="Q25" i="9"/>
  <c r="Q30" i="9"/>
  <c r="Q39" i="9"/>
  <c r="Q38" i="9"/>
  <c r="P29" i="9"/>
  <c r="P19" i="9"/>
  <c r="J9" i="7"/>
  <c r="P24" i="9"/>
  <c r="Q27" i="9"/>
  <c r="Q18" i="9"/>
  <c r="Q41" i="9"/>
  <c r="Q31" i="9"/>
  <c r="Q35" i="9"/>
  <c r="Q34" i="9"/>
  <c r="Q44" i="9"/>
  <c r="V6" i="9"/>
  <c r="U16" i="9"/>
  <c r="T4" i="9"/>
  <c r="T8" i="9"/>
  <c r="S29" i="9"/>
  <c r="S40" i="9"/>
  <c r="S45" i="9"/>
  <c r="S36" i="9"/>
  <c r="P22" i="9"/>
  <c r="P15" i="9"/>
  <c r="Q37" i="9"/>
  <c r="S33" i="9"/>
  <c r="S42" i="9"/>
  <c r="R26" i="9"/>
  <c r="R35" i="9"/>
  <c r="R34" i="9"/>
  <c r="V17" i="9"/>
  <c r="U4" i="9"/>
  <c r="U8" i="9"/>
  <c r="T21" i="9"/>
  <c r="T15" i="9"/>
  <c r="S43" i="9"/>
  <c r="S39" i="9"/>
  <c r="S38" i="9"/>
  <c r="P7" i="9"/>
  <c r="P10" i="9"/>
  <c r="P23" i="9"/>
  <c r="J7" i="7"/>
  <c r="J11" i="7"/>
  <c r="U32" i="9"/>
  <c r="T9" i="9"/>
  <c r="T10" i="9"/>
  <c r="S46" i="9"/>
  <c r="S41" i="9"/>
  <c r="R5" i="9"/>
  <c r="W5" i="9" s="1"/>
  <c r="O17" i="9"/>
  <c r="U40" i="9"/>
  <c r="U45" i="9"/>
  <c r="U36" i="9"/>
  <c r="T23" i="9"/>
  <c r="T24" i="9"/>
  <c r="T30" i="9"/>
  <c r="T13" i="9"/>
  <c r="T12" i="9"/>
  <c r="T18" i="9"/>
  <c r="P16" i="9"/>
  <c r="O4" i="9"/>
  <c r="U43" i="9"/>
  <c r="U23" i="9"/>
  <c r="U24" i="9"/>
  <c r="U30" i="9"/>
  <c r="U39" i="9"/>
  <c r="N39" i="9"/>
  <c r="N12" i="9"/>
  <c r="N34" i="9"/>
  <c r="N8" i="9"/>
  <c r="N36" i="9"/>
  <c r="N38" i="9"/>
  <c r="N46" i="9"/>
  <c r="N42" i="9"/>
  <c r="N27" i="9"/>
  <c r="N44" i="9"/>
  <c r="N32" i="9"/>
  <c r="N9" i="9"/>
  <c r="N18" i="9"/>
  <c r="N29" i="9"/>
  <c r="N43" i="9"/>
  <c r="N35" i="9"/>
  <c r="N10" i="9"/>
  <c r="N41" i="9"/>
  <c r="N22" i="9"/>
  <c r="N25" i="9"/>
  <c r="N20" i="9"/>
  <c r="N31" i="9"/>
  <c r="N40" i="9"/>
  <c r="N23" i="9"/>
  <c r="N15" i="9"/>
  <c r="N7" i="9"/>
  <c r="N26" i="9"/>
  <c r="N45" i="9"/>
  <c r="N24" i="9"/>
  <c r="N37" i="9"/>
  <c r="N28" i="9"/>
  <c r="N17" i="9"/>
  <c r="N19" i="9"/>
  <c r="D8" i="7"/>
  <c r="F8" i="7" s="1"/>
  <c r="D7" i="7"/>
  <c r="F7" i="7" s="1"/>
  <c r="D6" i="7"/>
  <c r="F6" i="7" s="1"/>
  <c r="D3" i="7"/>
  <c r="D5" i="7"/>
  <c r="F5" i="7" s="1"/>
  <c r="D4" i="7"/>
  <c r="F4" i="7" s="1"/>
  <c r="D11" i="7"/>
  <c r="F11" i="7" s="1"/>
  <c r="D10" i="7"/>
  <c r="F10" i="7" s="1"/>
  <c r="W14" i="9" l="1"/>
  <c r="C3" i="31"/>
  <c r="C4" i="25"/>
  <c r="D3" i="25"/>
  <c r="D3" i="31" s="1"/>
  <c r="B3" i="25"/>
  <c r="B3" i="31" s="1"/>
  <c r="E2" i="35"/>
  <c r="K2" i="35" s="1"/>
  <c r="W13" i="9"/>
  <c r="W6" i="9"/>
  <c r="W25" i="9"/>
  <c r="W17" i="9"/>
  <c r="W8" i="9"/>
  <c r="W4" i="9"/>
  <c r="W16" i="9"/>
  <c r="W9" i="9"/>
  <c r="W15" i="9"/>
  <c r="W10" i="9"/>
  <c r="W7" i="9"/>
  <c r="W24" i="9"/>
  <c r="W18" i="9"/>
  <c r="W26" i="9"/>
  <c r="K9" i="7"/>
  <c r="T31" i="9"/>
  <c r="T41" i="9"/>
  <c r="T27" i="9"/>
  <c r="T38" i="9"/>
  <c r="T39" i="9"/>
  <c r="T20" i="9"/>
  <c r="W20" i="9" s="1"/>
  <c r="T33" i="9"/>
  <c r="T36" i="9"/>
  <c r="T32" i="9"/>
  <c r="T11" i="9"/>
  <c r="W11" i="9" s="1"/>
  <c r="W12" i="9"/>
  <c r="P36" i="9"/>
  <c r="P39" i="9"/>
  <c r="K5" i="7"/>
  <c r="P34" i="9"/>
  <c r="P38" i="9"/>
  <c r="W23" i="9"/>
  <c r="K7" i="7"/>
  <c r="R44" i="9"/>
  <c r="R31" i="9"/>
  <c r="R41" i="9"/>
  <c r="R37" i="9"/>
  <c r="R36" i="9"/>
  <c r="R45" i="9"/>
  <c r="R40" i="9"/>
  <c r="R29" i="9"/>
  <c r="W29" i="9" s="1"/>
  <c r="K11" i="7"/>
  <c r="V36" i="9"/>
  <c r="V40" i="9"/>
  <c r="V22" i="9"/>
  <c r="W22" i="9" s="1"/>
  <c r="V21" i="9"/>
  <c r="W21" i="9" s="1"/>
  <c r="V44" i="9"/>
  <c r="V37" i="9"/>
  <c r="V39" i="9"/>
  <c r="V28" i="9"/>
  <c r="W28" i="9" s="1"/>
  <c r="V38" i="9"/>
  <c r="V42" i="9"/>
  <c r="V41" i="9"/>
  <c r="V30" i="9"/>
  <c r="W30" i="9" s="1"/>
  <c r="V31" i="9"/>
  <c r="M4" i="7"/>
  <c r="O27" i="9"/>
  <c r="O39" i="9"/>
  <c r="O43" i="9"/>
  <c r="O44" i="9"/>
  <c r="O34" i="9"/>
  <c r="O38" i="9"/>
  <c r="F3" i="7"/>
  <c r="D13" i="7"/>
  <c r="L2" i="35" l="1"/>
  <c r="C4" i="31"/>
  <c r="B4" i="25"/>
  <c r="B4" i="31" s="1"/>
  <c r="C5" i="25"/>
  <c r="D4" i="25"/>
  <c r="D4" i="31" s="1"/>
  <c r="E6" i="30"/>
  <c r="E27" i="35"/>
  <c r="E12" i="35"/>
  <c r="E10" i="35"/>
  <c r="K10" i="35" s="1"/>
  <c r="E13" i="35"/>
  <c r="E11" i="35"/>
  <c r="E21" i="35"/>
  <c r="E28" i="35"/>
  <c r="E23" i="35"/>
  <c r="E22" i="35"/>
  <c r="E8" i="35"/>
  <c r="K8" i="35" s="1"/>
  <c r="E9" i="35"/>
  <c r="K9" i="35" s="1"/>
  <c r="E15" i="35"/>
  <c r="E20" i="35"/>
  <c r="E19" i="35"/>
  <c r="E6" i="35"/>
  <c r="K6" i="35" s="1"/>
  <c r="E16" i="35"/>
  <c r="E14" i="35"/>
  <c r="E29" i="35"/>
  <c r="E25" i="35"/>
  <c r="E3" i="35"/>
  <c r="E17" i="35"/>
  <c r="E7" i="35"/>
  <c r="K7" i="35" s="1"/>
  <c r="E24" i="35"/>
  <c r="W27" i="9"/>
  <c r="W38" i="9"/>
  <c r="W31" i="9"/>
  <c r="W39" i="9"/>
  <c r="W36" i="9"/>
  <c r="L7" i="7"/>
  <c r="R46" i="9"/>
  <c r="L5" i="7"/>
  <c r="P40" i="9"/>
  <c r="P33" i="9"/>
  <c r="W33" i="9" s="1"/>
  <c r="P37" i="9"/>
  <c r="P32" i="9"/>
  <c r="W32" i="9" s="1"/>
  <c r="V45" i="9"/>
  <c r="V43" i="9"/>
  <c r="V46" i="9"/>
  <c r="L9" i="7"/>
  <c r="T34" i="9"/>
  <c r="W34" i="9" s="1"/>
  <c r="T35" i="9"/>
  <c r="W35" i="9" s="1"/>
  <c r="T37" i="9"/>
  <c r="T43" i="9"/>
  <c r="T42" i="9"/>
  <c r="T19" i="9"/>
  <c r="W19" i="9" s="1"/>
  <c r="T40" i="9"/>
  <c r="O46" i="9"/>
  <c r="L10" i="35" l="1"/>
  <c r="L9" i="35"/>
  <c r="L8" i="35"/>
  <c r="L6" i="35"/>
  <c r="L7" i="35"/>
  <c r="N7" i="35"/>
  <c r="K3" i="35"/>
  <c r="E18" i="35"/>
  <c r="E34" i="35"/>
  <c r="E32" i="35"/>
  <c r="E37" i="35"/>
  <c r="E35" i="35"/>
  <c r="E33" i="35"/>
  <c r="E26" i="35"/>
  <c r="F6" i="30"/>
  <c r="C5" i="31"/>
  <c r="B5" i="25"/>
  <c r="C6" i="25"/>
  <c r="D5" i="25"/>
  <c r="D5" i="31" s="1"/>
  <c r="E31" i="35"/>
  <c r="E38" i="35"/>
  <c r="E30" i="35"/>
  <c r="W40" i="9"/>
  <c r="T44" i="9"/>
  <c r="T46" i="9"/>
  <c r="T45" i="9"/>
  <c r="M5" i="7"/>
  <c r="P42" i="9"/>
  <c r="W42" i="9" s="1"/>
  <c r="P45" i="9"/>
  <c r="P44" i="9"/>
  <c r="P41" i="9"/>
  <c r="W41" i="9" s="1"/>
  <c r="P43" i="9"/>
  <c r="W43" i="9" s="1"/>
  <c r="W37" i="9"/>
  <c r="L3" i="35" l="1"/>
  <c r="C6" i="38"/>
  <c r="E42" i="35"/>
  <c r="K42" i="35" s="1"/>
  <c r="B5" i="31"/>
  <c r="E36" i="35"/>
  <c r="E40" i="35"/>
  <c r="E39" i="35"/>
  <c r="E41" i="35"/>
  <c r="C6" i="31"/>
  <c r="C7" i="25"/>
  <c r="D6" i="25"/>
  <c r="D6" i="31" s="1"/>
  <c r="B6" i="25"/>
  <c r="W45" i="9"/>
  <c r="W44" i="9"/>
  <c r="P46" i="9"/>
  <c r="W46" i="9" s="1"/>
  <c r="J13" i="7"/>
  <c r="L42" i="35" l="1"/>
  <c r="E6" i="38"/>
  <c r="E45" i="35"/>
  <c r="E43" i="35"/>
  <c r="K43" i="35" s="1"/>
  <c r="E44" i="35"/>
  <c r="K44" i="35" s="1"/>
  <c r="B6" i="31"/>
  <c r="C7" i="31"/>
  <c r="C8" i="25"/>
  <c r="B7" i="25"/>
  <c r="D7" i="25"/>
  <c r="D7" i="31" s="1"/>
  <c r="B2" i="12"/>
  <c r="D2" i="12" s="1"/>
  <c r="C2" i="12" s="1"/>
  <c r="B3" i="12" s="1"/>
  <c r="D3" i="12" s="1"/>
  <c r="C3" i="12" s="1"/>
  <c r="B4" i="12" s="1"/>
  <c r="D4" i="12" s="1"/>
  <c r="C4" i="12" s="1"/>
  <c r="B5" i="12" s="1"/>
  <c r="D5" i="12" s="1"/>
  <c r="C5" i="12" s="1"/>
  <c r="B6" i="12" s="1"/>
  <c r="D6" i="12" s="1"/>
  <c r="C6" i="12" s="1"/>
  <c r="B7" i="12" s="1"/>
  <c r="D7" i="12" s="1"/>
  <c r="C7" i="12" s="1"/>
  <c r="B8" i="12" s="1"/>
  <c r="D8" i="12" s="1"/>
  <c r="C8" i="12" s="1"/>
  <c r="B9" i="12" s="1"/>
  <c r="L43" i="35" l="1"/>
  <c r="L44" i="35"/>
  <c r="B7" i="31"/>
  <c r="C8" i="31"/>
  <c r="B8" i="25"/>
  <c r="C9" i="25"/>
  <c r="D8" i="25"/>
  <c r="D8" i="31" s="1"/>
  <c r="X3" i="9" a="1"/>
  <c r="X3" i="9" s="1"/>
  <c r="D9" i="12"/>
  <c r="C9" i="12" s="1"/>
  <c r="C9" i="31" l="1"/>
  <c r="C10" i="25"/>
  <c r="D9" i="25"/>
  <c r="D9" i="31" s="1"/>
  <c r="B9" i="25"/>
  <c r="B8" i="31"/>
  <c r="D2" i="30"/>
  <c r="F2" i="35"/>
  <c r="M2" i="35" s="1"/>
  <c r="N2" i="35" s="1"/>
  <c r="B10" i="12"/>
  <c r="H2" i="30" l="1"/>
  <c r="E2" i="30"/>
  <c r="B9" i="31"/>
  <c r="C10" i="31"/>
  <c r="B10" i="25"/>
  <c r="B10" i="31" s="1"/>
  <c r="C11" i="25"/>
  <c r="D10" i="25"/>
  <c r="D10" i="31" s="1"/>
  <c r="D10" i="12"/>
  <c r="C10" i="12" s="1"/>
  <c r="C11" i="31" l="1"/>
  <c r="B11" i="25"/>
  <c r="B11" i="31" s="1"/>
  <c r="D11" i="25"/>
  <c r="D11" i="31" s="1"/>
  <c r="C12" i="25"/>
  <c r="F2" i="30"/>
  <c r="B11" i="12"/>
  <c r="D11" i="12" s="1"/>
  <c r="C11" i="12" s="1"/>
  <c r="G2" i="30" l="1"/>
  <c r="C2" i="38"/>
  <c r="C12" i="31"/>
  <c r="D12" i="25"/>
  <c r="D12" i="31" s="1"/>
  <c r="B12" i="25"/>
  <c r="B12" i="31" s="1"/>
  <c r="B12" i="12"/>
  <c r="E2" i="38" l="1"/>
  <c r="D12" i="12"/>
  <c r="C12" i="12" s="1"/>
  <c r="B13" i="12" l="1"/>
  <c r="D13" i="12" l="1"/>
  <c r="C13" i="12" s="1"/>
  <c r="B14" i="12" l="1"/>
  <c r="X6" i="9" l="1" a="1"/>
  <c r="X6" i="9" s="1"/>
  <c r="D5" i="30" s="1"/>
  <c r="X5" i="9" a="1"/>
  <c r="X5" i="9" s="1"/>
  <c r="D4" i="30" s="1"/>
  <c r="D14" i="12"/>
  <c r="C14" i="12" s="1"/>
  <c r="X19" i="9" s="1" a="1"/>
  <c r="X19" i="9" s="1"/>
  <c r="X46" i="9" a="1"/>
  <c r="X46" i="9" s="1"/>
  <c r="X10" i="9" a="1"/>
  <c r="X10" i="9" s="1"/>
  <c r="D9" i="30" s="1"/>
  <c r="X45" i="9" a="1"/>
  <c r="X45" i="9" s="1"/>
  <c r="X9" i="9" a="1"/>
  <c r="X9" i="9" s="1"/>
  <c r="F8" i="35" l="1"/>
  <c r="M8" i="35" s="1"/>
  <c r="N8" i="35" s="1"/>
  <c r="D8" i="30"/>
  <c r="F9" i="35"/>
  <c r="M9" i="35" s="1"/>
  <c r="N9" i="35" s="1"/>
  <c r="F44" i="35"/>
  <c r="M44" i="35" s="1"/>
  <c r="N44" i="35" s="1"/>
  <c r="D44" i="30"/>
  <c r="H9" i="30"/>
  <c r="E9" i="30"/>
  <c r="D45" i="30"/>
  <c r="F45" i="35"/>
  <c r="M45" i="35" s="1"/>
  <c r="F18" i="35"/>
  <c r="M18" i="35" s="1"/>
  <c r="N18" i="35" s="1"/>
  <c r="D18" i="30"/>
  <c r="H4" i="30"/>
  <c r="E4" i="30"/>
  <c r="H5" i="30"/>
  <c r="E5" i="30"/>
  <c r="X32" i="9" a="1"/>
  <c r="X32" i="9" s="1"/>
  <c r="X40" i="9" a="1"/>
  <c r="X40" i="9" s="1"/>
  <c r="X31" i="9" a="1"/>
  <c r="X31" i="9" s="1"/>
  <c r="X12" i="9" a="1"/>
  <c r="X12" i="9" s="1"/>
  <c r="X17" i="9" a="1"/>
  <c r="X17" i="9" s="1"/>
  <c r="X23" i="9" a="1"/>
  <c r="X23" i="9" s="1"/>
  <c r="X25" i="9" a="1"/>
  <c r="X25" i="9" s="1"/>
  <c r="X41" i="9" a="1"/>
  <c r="X41" i="9" s="1"/>
  <c r="X30" i="9" a="1"/>
  <c r="X30" i="9" s="1"/>
  <c r="X38" i="9" a="1"/>
  <c r="X38" i="9" s="1"/>
  <c r="X18" i="9" a="1"/>
  <c r="X18" i="9" s="1"/>
  <c r="X21" i="9" a="1"/>
  <c r="X21" i="9" s="1"/>
  <c r="X36" i="9" a="1"/>
  <c r="X36" i="9" s="1"/>
  <c r="X35" i="9" a="1"/>
  <c r="X35" i="9" s="1"/>
  <c r="X26" i="9" a="1"/>
  <c r="X26" i="9" s="1"/>
  <c r="X42" i="9" a="1"/>
  <c r="X42" i="9" s="1"/>
  <c r="X28" i="9" a="1"/>
  <c r="X28" i="9" s="1"/>
  <c r="X29" i="9" a="1"/>
  <c r="X29" i="9" s="1"/>
  <c r="X39" i="9" a="1"/>
  <c r="X39" i="9" s="1"/>
  <c r="X43" i="9" a="1"/>
  <c r="X43" i="9" s="1"/>
  <c r="X13" i="9" a="1"/>
  <c r="X13" i="9" s="1"/>
  <c r="X22" i="9" a="1"/>
  <c r="X22" i="9" s="1"/>
  <c r="X20" i="9" a="1"/>
  <c r="X20" i="9" s="1"/>
  <c r="X44" i="9" a="1"/>
  <c r="X44" i="9" s="1"/>
  <c r="X37" i="9" a="1"/>
  <c r="X37" i="9" s="1"/>
  <c r="X15" i="9" a="1"/>
  <c r="X15" i="9" s="1"/>
  <c r="X8" i="9" a="1"/>
  <c r="X8" i="9" s="1"/>
  <c r="X33" i="9" a="1"/>
  <c r="X33" i="9" s="1"/>
  <c r="X34" i="9" a="1"/>
  <c r="X34" i="9" s="1"/>
  <c r="X27" i="9" a="1"/>
  <c r="X27" i="9" s="1"/>
  <c r="X14" i="9" a="1"/>
  <c r="X14" i="9" s="1"/>
  <c r="X24" i="9" a="1"/>
  <c r="X24" i="9" s="1"/>
  <c r="D23" i="30" s="1"/>
  <c r="X11" i="9" a="1"/>
  <c r="X11" i="9" s="1"/>
  <c r="X16" i="9" a="1"/>
  <c r="X16" i="9" s="1"/>
  <c r="X4" i="9" a="1"/>
  <c r="X4" i="9" s="1"/>
  <c r="F36" i="35" l="1"/>
  <c r="M36" i="35" s="1"/>
  <c r="N36" i="35" s="1"/>
  <c r="D36" i="30"/>
  <c r="D27" i="30"/>
  <c r="F27" i="35"/>
  <c r="M27" i="35" s="1"/>
  <c r="N27" i="35" s="1"/>
  <c r="F29" i="35"/>
  <c r="M29" i="35" s="1"/>
  <c r="D29" i="30"/>
  <c r="D31" i="30"/>
  <c r="F31" i="35"/>
  <c r="M31" i="35" s="1"/>
  <c r="N31" i="35" s="1"/>
  <c r="H45" i="30"/>
  <c r="E45" i="30"/>
  <c r="H23" i="30"/>
  <c r="E23" i="30"/>
  <c r="F43" i="35"/>
  <c r="D43" i="30"/>
  <c r="D41" i="30"/>
  <c r="F41" i="35"/>
  <c r="M41" i="35" s="1"/>
  <c r="D40" i="30"/>
  <c r="F40" i="35"/>
  <c r="M40" i="35" s="1"/>
  <c r="F5" i="30"/>
  <c r="F9" i="30"/>
  <c r="D10" i="30"/>
  <c r="F10" i="35"/>
  <c r="F19" i="35"/>
  <c r="D19" i="30"/>
  <c r="F25" i="35"/>
  <c r="M25" i="35" s="1"/>
  <c r="N25" i="35" s="1"/>
  <c r="D25" i="30"/>
  <c r="F24" i="35"/>
  <c r="M24" i="35" s="1"/>
  <c r="D24" i="30"/>
  <c r="D26" i="30"/>
  <c r="F26" i="35"/>
  <c r="M26" i="35" s="1"/>
  <c r="D21" i="30"/>
  <c r="F20" i="35"/>
  <c r="M20" i="35" s="1"/>
  <c r="D34" i="30"/>
  <c r="F35" i="35"/>
  <c r="M35" i="35" s="1"/>
  <c r="N35" i="35" s="1"/>
  <c r="D22" i="30"/>
  <c r="F23" i="35"/>
  <c r="M23" i="35" s="1"/>
  <c r="F22" i="35"/>
  <c r="M22" i="35" s="1"/>
  <c r="F4" i="30"/>
  <c r="H44" i="30"/>
  <c r="E44" i="30"/>
  <c r="F33" i="35"/>
  <c r="M33" i="35" s="1"/>
  <c r="D33" i="30"/>
  <c r="F11" i="35"/>
  <c r="D12" i="30"/>
  <c r="F34" i="35"/>
  <c r="M34" i="35" s="1"/>
  <c r="D35" i="30"/>
  <c r="F16" i="35"/>
  <c r="M16" i="35" s="1"/>
  <c r="D16" i="30"/>
  <c r="D13" i="30"/>
  <c r="F14" i="35"/>
  <c r="M14" i="35" s="1"/>
  <c r="N14" i="35" s="1"/>
  <c r="F42" i="35"/>
  <c r="M42" i="35" s="1"/>
  <c r="N42" i="35" s="1"/>
  <c r="D42" i="30"/>
  <c r="F21" i="35"/>
  <c r="M21" i="35" s="1"/>
  <c r="N21" i="35" s="1"/>
  <c r="D20" i="30"/>
  <c r="D11" i="30"/>
  <c r="F12" i="35"/>
  <c r="M12" i="35" s="1"/>
  <c r="H18" i="30"/>
  <c r="E18" i="30"/>
  <c r="F15" i="35"/>
  <c r="D15" i="30"/>
  <c r="F32" i="35"/>
  <c r="D32" i="30"/>
  <c r="D3" i="30"/>
  <c r="F3" i="35"/>
  <c r="E7" i="31"/>
  <c r="H11" i="25"/>
  <c r="H10" i="25"/>
  <c r="H5" i="25"/>
  <c r="H8" i="25"/>
  <c r="E5" i="31"/>
  <c r="H4" i="25"/>
  <c r="E11" i="31"/>
  <c r="E6" i="31"/>
  <c r="E2" i="31"/>
  <c r="E12" i="31"/>
  <c r="E3" i="31"/>
  <c r="E4" i="31"/>
  <c r="E9" i="31"/>
  <c r="H7" i="25"/>
  <c r="E8" i="31"/>
  <c r="H2" i="25"/>
  <c r="D14" i="25" s="1"/>
  <c r="H12" i="25"/>
  <c r="H9" i="25"/>
  <c r="E10" i="31"/>
  <c r="H3" i="25"/>
  <c r="H6" i="25"/>
  <c r="F6" i="35"/>
  <c r="D7" i="30"/>
  <c r="D38" i="30"/>
  <c r="F38" i="35"/>
  <c r="M38" i="35" s="1"/>
  <c r="F17" i="35"/>
  <c r="M17" i="35" s="1"/>
  <c r="D17" i="30"/>
  <c r="D30" i="30"/>
  <c r="F30" i="35"/>
  <c r="M30" i="35" s="1"/>
  <c r="N30" i="35" s="1"/>
  <c r="H8" i="30"/>
  <c r="E8" i="30"/>
  <c r="D14" i="30"/>
  <c r="F13" i="35"/>
  <c r="M13" i="35" s="1"/>
  <c r="N13" i="35" s="1"/>
  <c r="F28" i="35"/>
  <c r="M28" i="35" s="1"/>
  <c r="D28" i="30"/>
  <c r="D37" i="30"/>
  <c r="F37" i="35"/>
  <c r="M37" i="35" s="1"/>
  <c r="D39" i="30"/>
  <c r="F39" i="35"/>
  <c r="M39" i="35" s="1"/>
  <c r="N39" i="35" s="1"/>
  <c r="M15" i="35" l="1"/>
  <c r="N15" i="35" s="1"/>
  <c r="M11" i="35"/>
  <c r="N11" i="35" s="1"/>
  <c r="M10" i="35"/>
  <c r="N10" i="35" s="1"/>
  <c r="M3" i="35"/>
  <c r="N3" i="35" s="1"/>
  <c r="M43" i="35"/>
  <c r="N43" i="35" s="1"/>
  <c r="M6" i="35"/>
  <c r="N6" i="35" s="1"/>
  <c r="M32" i="35"/>
  <c r="N32" i="35" s="1"/>
  <c r="M19" i="35"/>
  <c r="N19" i="35" s="1"/>
  <c r="C4" i="38"/>
  <c r="C9" i="38"/>
  <c r="C5" i="38"/>
  <c r="H28" i="30"/>
  <c r="E28" i="30"/>
  <c r="H17" i="30"/>
  <c r="E17" i="30"/>
  <c r="H14" i="30"/>
  <c r="E14" i="30"/>
  <c r="H39" i="30"/>
  <c r="E39" i="30"/>
  <c r="H37" i="30"/>
  <c r="E37" i="30"/>
  <c r="H30" i="30"/>
  <c r="E30" i="30"/>
  <c r="F4" i="31"/>
  <c r="G4" i="31"/>
  <c r="H15" i="30"/>
  <c r="E15" i="30"/>
  <c r="H42" i="30"/>
  <c r="E42" i="30"/>
  <c r="H12" i="30"/>
  <c r="E12" i="30"/>
  <c r="H26" i="30"/>
  <c r="E26" i="30"/>
  <c r="H10" i="30"/>
  <c r="E10" i="30"/>
  <c r="H41" i="30"/>
  <c r="E41" i="30"/>
  <c r="H31" i="30"/>
  <c r="E31" i="30"/>
  <c r="F3" i="31"/>
  <c r="G3" i="31"/>
  <c r="G12" i="31"/>
  <c r="G14" i="31" s="1"/>
  <c r="F12" i="31"/>
  <c r="F14" i="31" s="1"/>
  <c r="H24" i="30"/>
  <c r="E24" i="30"/>
  <c r="H43" i="30"/>
  <c r="E43" i="30"/>
  <c r="H29" i="30"/>
  <c r="E29" i="30"/>
  <c r="F18" i="30"/>
  <c r="H33" i="30"/>
  <c r="E33" i="30"/>
  <c r="H22" i="30"/>
  <c r="E22" i="30"/>
  <c r="F6" i="31"/>
  <c r="G6" i="31"/>
  <c r="F7" i="31"/>
  <c r="G7" i="31"/>
  <c r="H13" i="30"/>
  <c r="E13" i="30"/>
  <c r="H25" i="30"/>
  <c r="E25" i="30"/>
  <c r="F23" i="30"/>
  <c r="E14" i="31"/>
  <c r="G2" i="31"/>
  <c r="F2" i="31"/>
  <c r="H38" i="30"/>
  <c r="E38" i="30"/>
  <c r="F8" i="30"/>
  <c r="H7" i="30"/>
  <c r="E7" i="30"/>
  <c r="G8" i="31"/>
  <c r="F8" i="31"/>
  <c r="G11" i="31"/>
  <c r="F11" i="31"/>
  <c r="H16" i="30"/>
  <c r="E16" i="30"/>
  <c r="F44" i="30"/>
  <c r="H34" i="30"/>
  <c r="E34" i="30"/>
  <c r="H27" i="30"/>
  <c r="E27" i="30"/>
  <c r="H3" i="30"/>
  <c r="E3" i="30"/>
  <c r="H11" i="30"/>
  <c r="E11" i="30"/>
  <c r="H19" i="30"/>
  <c r="E19" i="30"/>
  <c r="F45" i="30"/>
  <c r="H36" i="30"/>
  <c r="E36" i="30"/>
  <c r="F10" i="31"/>
  <c r="G10" i="31"/>
  <c r="F9" i="31"/>
  <c r="G9" i="31"/>
  <c r="F5" i="31"/>
  <c r="G5" i="31"/>
  <c r="H32" i="30"/>
  <c r="E32" i="30"/>
  <c r="H20" i="30"/>
  <c r="E20" i="30"/>
  <c r="H35" i="30"/>
  <c r="E35" i="30"/>
  <c r="H21" i="30"/>
  <c r="E21" i="30"/>
  <c r="H40" i="30"/>
  <c r="E40" i="30"/>
  <c r="C44" i="38" l="1"/>
  <c r="E5" i="38"/>
  <c r="G45" i="30"/>
  <c r="C45" i="38"/>
  <c r="C8" i="38"/>
  <c r="C23" i="38"/>
  <c r="C18" i="38"/>
  <c r="E9" i="38"/>
  <c r="E4" i="38"/>
  <c r="F35" i="30"/>
  <c r="F19" i="30"/>
  <c r="F27" i="30"/>
  <c r="F38" i="30"/>
  <c r="F13" i="30"/>
  <c r="F33" i="30"/>
  <c r="F43" i="30"/>
  <c r="F26" i="30"/>
  <c r="F39" i="30"/>
  <c r="F29" i="30"/>
  <c r="F24" i="30"/>
  <c r="F31" i="30"/>
  <c r="F12" i="30"/>
  <c r="F14" i="30"/>
  <c r="F25" i="30"/>
  <c r="F20" i="30"/>
  <c r="F32" i="30"/>
  <c r="F7" i="30"/>
  <c r="F41" i="30"/>
  <c r="F42" i="30"/>
  <c r="F30" i="30"/>
  <c r="F17" i="30"/>
  <c r="F22" i="30"/>
  <c r="F34" i="30"/>
  <c r="F40" i="30"/>
  <c r="F36" i="30"/>
  <c r="F11" i="30"/>
  <c r="F21" i="30"/>
  <c r="F3" i="30"/>
  <c r="F16" i="30"/>
  <c r="F10" i="30"/>
  <c r="F15" i="30"/>
  <c r="F37" i="30"/>
  <c r="F28" i="30"/>
  <c r="G15" i="31"/>
  <c r="C41" i="38" l="1"/>
  <c r="C25" i="38"/>
  <c r="C24" i="38"/>
  <c r="C43" i="38"/>
  <c r="C27" i="38"/>
  <c r="E45" i="38"/>
  <c r="G44" i="30"/>
  <c r="C42" i="38"/>
  <c r="C17" i="38"/>
  <c r="C19" i="38"/>
  <c r="C21" i="38"/>
  <c r="G35" i="30"/>
  <c r="C31" i="38"/>
  <c r="C22" i="38"/>
  <c r="C28" i="38"/>
  <c r="C14" i="38"/>
  <c r="C33" i="38"/>
  <c r="C10" i="38"/>
  <c r="G41" i="30"/>
  <c r="C36" i="38"/>
  <c r="C37" i="38"/>
  <c r="C40" i="38"/>
  <c r="C30" i="38"/>
  <c r="C32" i="38"/>
  <c r="C12" i="38"/>
  <c r="C39" i="38"/>
  <c r="C13" i="38"/>
  <c r="C35" i="38"/>
  <c r="G15" i="30"/>
  <c r="C11" i="38"/>
  <c r="G30" i="30"/>
  <c r="C29" i="38"/>
  <c r="E8" i="38"/>
  <c r="C16" i="38"/>
  <c r="C7" i="38"/>
  <c r="G5" i="30"/>
  <c r="C3" i="38"/>
  <c r="C15" i="38"/>
  <c r="C34" i="38"/>
  <c r="C20" i="38"/>
  <c r="C26" i="38"/>
  <c r="C38" i="38"/>
  <c r="G28" i="30"/>
  <c r="G24" i="30"/>
  <c r="G10" i="30"/>
  <c r="E16" i="38" l="1"/>
  <c r="E12" i="38"/>
  <c r="E15" i="38"/>
  <c r="E35" i="38"/>
  <c r="E3" i="38"/>
  <c r="E32" i="38"/>
  <c r="E28" i="38"/>
  <c r="E40" i="38"/>
  <c r="E20" i="38"/>
  <c r="E29" i="38"/>
  <c r="E13" i="38"/>
  <c r="E30" i="38"/>
  <c r="E10" i="38"/>
  <c r="E27" i="38"/>
  <c r="E43" i="3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<sst xmlns="http://schemas.openxmlformats.org/spreadsheetml/2006/main" count="1306" uniqueCount="228">
  <si>
    <t>Purpose of Contacts</t>
    <phoneticPr fontId="1" type="noConversion"/>
  </si>
  <si>
    <t>Accountability</t>
    <phoneticPr fontId="1" type="noConversion"/>
  </si>
  <si>
    <t>Contract Management</t>
    <phoneticPr fontId="1" type="noConversion"/>
  </si>
  <si>
    <t>Budget</t>
    <phoneticPr fontId="1" type="noConversion"/>
  </si>
  <si>
    <t>Customer Service</t>
    <phoneticPr fontId="1" type="noConversion"/>
  </si>
  <si>
    <t>Working Conditions</t>
    <phoneticPr fontId="1" type="noConversion"/>
  </si>
  <si>
    <t>Continuing Education</t>
    <phoneticPr fontId="0" type="noConversion"/>
  </si>
  <si>
    <t>Secretary (Director Continuing Education)</t>
    <phoneticPr fontId="0" type="noConversion"/>
  </si>
  <si>
    <t>Coordinator, Professional Programs</t>
    <phoneticPr fontId="0" type="noConversion"/>
  </si>
  <si>
    <t>Director, Continuing Education</t>
    <phoneticPr fontId="0" type="noConversion"/>
  </si>
  <si>
    <t>Seminar Coordinator</t>
    <phoneticPr fontId="0" type="noConversion"/>
  </si>
  <si>
    <t>Associate Coordinator, Professional Programs</t>
    <phoneticPr fontId="0" type="noConversion"/>
  </si>
  <si>
    <t>Exec</t>
    <phoneticPr fontId="0" type="noConversion"/>
  </si>
  <si>
    <t>IT</t>
    <phoneticPr fontId="0" type="noConversion"/>
  </si>
  <si>
    <t>Marketing Coordinator</t>
    <phoneticPr fontId="0" type="noConversion"/>
  </si>
  <si>
    <t>Marketing</t>
    <phoneticPr fontId="0" type="noConversion"/>
  </si>
  <si>
    <t>Information Officer</t>
    <phoneticPr fontId="0" type="noConversion"/>
  </si>
  <si>
    <t>Manager, Education Outreach</t>
    <phoneticPr fontId="0" type="noConversion"/>
  </si>
  <si>
    <t>Manager, Workforce Recruitment</t>
    <phoneticPr fontId="0" type="noConversion"/>
  </si>
  <si>
    <t>Director, Marketing and Communications</t>
    <phoneticPr fontId="0" type="noConversion"/>
  </si>
  <si>
    <t>Ops</t>
    <phoneticPr fontId="0" type="noConversion"/>
  </si>
  <si>
    <t>Secretary (Director Operations)</t>
    <phoneticPr fontId="0" type="noConversion"/>
  </si>
  <si>
    <t>Director, Operations</t>
    <phoneticPr fontId="0" type="noConversion"/>
  </si>
  <si>
    <t xml:space="preserve">Administrative Clerk </t>
    <phoneticPr fontId="0" type="noConversion"/>
  </si>
  <si>
    <t>Director, Quality Assurance</t>
    <phoneticPr fontId="0" type="noConversion"/>
  </si>
  <si>
    <t>Peer Review Administrator, Tax</t>
    <phoneticPr fontId="0" type="noConversion"/>
  </si>
  <si>
    <t>Peer Review Administrator, Audit</t>
    <phoneticPr fontId="0" type="noConversion"/>
  </si>
  <si>
    <t>Quality Assurance</t>
    <phoneticPr fontId="0" type="noConversion"/>
  </si>
  <si>
    <t>Manager, Tax Quality</t>
    <phoneticPr fontId="0" type="noConversion"/>
  </si>
  <si>
    <t>Manager, Audit and Assurance</t>
    <phoneticPr fontId="0" type="noConversion"/>
  </si>
  <si>
    <t>Department</t>
    <phoneticPr fontId="0" type="noConversion"/>
  </si>
  <si>
    <t>Education</t>
    <phoneticPr fontId="1" type="noConversion"/>
  </si>
  <si>
    <t>Experience</t>
    <phoneticPr fontId="1" type="noConversion"/>
  </si>
  <si>
    <t xml:space="preserve">Administrative Clerk </t>
  </si>
  <si>
    <t>Junior Accountant</t>
  </si>
  <si>
    <t>Administrative Clerk/mailroom clerk</t>
  </si>
  <si>
    <t>Accountant</t>
  </si>
  <si>
    <t>Receptionist</t>
  </si>
  <si>
    <t>Circulation Technician &amp; Receptionist</t>
  </si>
  <si>
    <t>Senior Accountant</t>
  </si>
  <si>
    <t>Business Analyst</t>
  </si>
  <si>
    <t>Manager, Member Services Centre</t>
  </si>
  <si>
    <t>Career Consultant</t>
  </si>
  <si>
    <t>Business Research Coordinator</t>
  </si>
  <si>
    <t>Manager Finance and Administration</t>
  </si>
  <si>
    <t>Position Title</t>
  </si>
  <si>
    <t>Meetings and District Programs Coordinator</t>
  </si>
  <si>
    <t>Manager Conferences and Event Planning</t>
  </si>
  <si>
    <t>Administrative Assistant, Exec Office</t>
  </si>
  <si>
    <t>Manager, Executive Office</t>
  </si>
  <si>
    <t>Executive Director</t>
    <phoneticPr fontId="0" type="noConversion"/>
  </si>
  <si>
    <t>Junior Systems Administrator</t>
  </si>
  <si>
    <t>Web Developer</t>
  </si>
  <si>
    <t>Programmer</t>
  </si>
  <si>
    <t>Director, IT</t>
  </si>
  <si>
    <t>Communications Specialist</t>
  </si>
  <si>
    <t>Work Demands</t>
  </si>
  <si>
    <t>SKILLS</t>
  </si>
  <si>
    <t>CONDITIONS</t>
  </si>
  <si>
    <t>EFFORT</t>
  </si>
  <si>
    <t>RESPONSIBILITY</t>
  </si>
  <si>
    <t>Coordinator, Audit and Assurance</t>
  </si>
  <si>
    <t>2007 Salary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</si>
  <si>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</si>
  <si>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</si>
  <si>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</si>
  <si>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</si>
  <si>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</si>
  <si>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</si>
  <si>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</si>
  <si>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</si>
  <si>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</si>
  <si>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</si>
  <si>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</si>
  <si>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</si>
  <si>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</si>
  <si>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</si>
  <si>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</si>
  <si>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</si>
  <si>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</si>
  <si>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</si>
  <si>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</si>
  <si>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</si>
  <si>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</si>
  <si>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</si>
  <si>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</si>
  <si>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</si>
  <si>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Education</t>
  </si>
  <si>
    <t>Experience</t>
  </si>
  <si>
    <t>Purpose of Contacts</t>
  </si>
  <si>
    <t>Accountability</t>
  </si>
  <si>
    <t>Contract Management</t>
  </si>
  <si>
    <t>Budget</t>
  </si>
  <si>
    <t>Customer Service</t>
  </si>
  <si>
    <t>Working Conditions</t>
  </si>
  <si>
    <t>CFs</t>
  </si>
  <si>
    <t>Weight</t>
  </si>
  <si>
    <t>Degree Levels</t>
  </si>
  <si>
    <t>Decision Making</t>
  </si>
  <si>
    <t>Points</t>
  </si>
  <si>
    <t>Points Schedule</t>
  </si>
  <si>
    <t>points_education</t>
  </si>
  <si>
    <t>points_experience</t>
  </si>
  <si>
    <t>points_purpose_contacts</t>
  </si>
  <si>
    <t>points_decision</t>
  </si>
  <si>
    <t>points_contract</t>
  </si>
  <si>
    <t>points_budget</t>
  </si>
  <si>
    <t>points_customer</t>
  </si>
  <si>
    <t>points_conditions</t>
  </si>
  <si>
    <t>points_demands</t>
  </si>
  <si>
    <t>Total Points</t>
  </si>
  <si>
    <t>Degree Level:</t>
  </si>
  <si>
    <t>Cluster</t>
  </si>
  <si>
    <t>Min Points</t>
  </si>
  <si>
    <t>Max Points</t>
  </si>
  <si>
    <t>Point Difference</t>
  </si>
  <si>
    <t>% spread</t>
  </si>
  <si>
    <t>Benchmark</t>
  </si>
  <si>
    <t>Benchmark (in thousands of dollars)</t>
  </si>
  <si>
    <t>Grade</t>
  </si>
  <si>
    <t>Midpoint</t>
  </si>
  <si>
    <t>Maximum</t>
  </si>
  <si>
    <t>Midpoint Progression</t>
  </si>
  <si>
    <t>Midpoint Width</t>
  </si>
  <si>
    <t>Minimum</t>
  </si>
  <si>
    <t>Total Weighted Sum:</t>
  </si>
  <si>
    <t>Proposed Midpoint</t>
  </si>
  <si>
    <t>Compa-Ratio</t>
  </si>
  <si>
    <t>Compa-Grade Average</t>
  </si>
  <si>
    <t>Count</t>
  </si>
  <si>
    <t>Payroll at mid</t>
  </si>
  <si>
    <t>Payroll at max</t>
  </si>
  <si>
    <t>Total:</t>
  </si>
  <si>
    <t>Is Less than 4M?</t>
  </si>
  <si>
    <t>Survey</t>
  </si>
  <si>
    <t>Title</t>
  </si>
  <si>
    <t>Base Salary</t>
  </si>
  <si>
    <t>Market Segment</t>
  </si>
  <si>
    <t>N Org</t>
  </si>
  <si>
    <t>Mean</t>
  </si>
  <si>
    <t>Actual Compa Ratio 50%</t>
  </si>
  <si>
    <t>Secretary, Director of Continuing Education</t>
  </si>
  <si>
    <t xml:space="preserve"> </t>
  </si>
  <si>
    <t>Mercer</t>
  </si>
  <si>
    <t>Not For Profit &amp; Public Sector</t>
  </si>
  <si>
    <t>Administrative Assistant - Senior</t>
  </si>
  <si>
    <t>Greater Toronto</t>
  </si>
  <si>
    <t>Revenues 50 to 100 million</t>
  </si>
  <si>
    <t>Watson Wyatt</t>
  </si>
  <si>
    <t>Not-for-Profit</t>
  </si>
  <si>
    <t>Total N Org:</t>
  </si>
  <si>
    <t>Events Planner</t>
  </si>
  <si>
    <t>Meeting Planner and Special Events Manager</t>
  </si>
  <si>
    <t>Administrative Assistant, Executive Office</t>
  </si>
  <si>
    <t>Executive Administrative Assistant</t>
  </si>
  <si>
    <t>Administrative Assistant - Executive</t>
  </si>
  <si>
    <t>Director, Information Systems</t>
  </si>
  <si>
    <t>Chief Information officer</t>
  </si>
  <si>
    <t>Towers Perrin</t>
  </si>
  <si>
    <t>Under $100 million</t>
  </si>
  <si>
    <t>Executive Director</t>
  </si>
  <si>
    <t>CEO</t>
  </si>
  <si>
    <t>Director, Marketing and Communications</t>
  </si>
  <si>
    <t>Marketing Executive</t>
  </si>
  <si>
    <t>Under $1 billion</t>
  </si>
  <si>
    <t>Top Sales and Marketing Executive</t>
  </si>
  <si>
    <t>Marketing Coordinator</t>
  </si>
  <si>
    <t>Marketing Co-ordinator</t>
  </si>
  <si>
    <t>Accountant - Intermediate</t>
  </si>
  <si>
    <t>Administrative Clerk (operations)</t>
  </si>
  <si>
    <t>Clerk - Intermediate</t>
  </si>
  <si>
    <t>Clerical - Intermediate</t>
  </si>
  <si>
    <t>Administrative Clerk/Mailroom (operations)</t>
  </si>
  <si>
    <t>Accountant - Associate</t>
  </si>
  <si>
    <t>Accountant - Entry</t>
  </si>
  <si>
    <t>Manager, Finance &amp; Admin</t>
  </si>
  <si>
    <t>Finance Manager</t>
  </si>
  <si>
    <t>Accounting Manager</t>
  </si>
  <si>
    <t>General Accounting Manager</t>
  </si>
  <si>
    <t>Secretary to Director Operations</t>
  </si>
  <si>
    <t>Accountant - Senior</t>
  </si>
  <si>
    <t>Administrative Clerk (Audit)</t>
  </si>
  <si>
    <t>Coordinator, Audit &amp; Assurance</t>
  </si>
  <si>
    <t>Auditor - Intermediate</t>
  </si>
  <si>
    <t>Communication Specialist</t>
  </si>
  <si>
    <t>Communications Officer</t>
  </si>
  <si>
    <t>Gender</t>
  </si>
  <si>
    <t>M</t>
  </si>
  <si>
    <t>M</t>
    <phoneticPr fontId="0" type="noConversion"/>
  </si>
  <si>
    <t>F</t>
    <phoneticPr fontId="0" type="noConversion"/>
  </si>
  <si>
    <t>Coordinator, Audit and Assurance</t>
    <phoneticPr fontId="0" type="noConversion"/>
  </si>
  <si>
    <t>Department</t>
  </si>
  <si>
    <t>Job Class</t>
  </si>
  <si>
    <t>Justification</t>
  </si>
  <si>
    <t xml:space="preserve">Unique </t>
  </si>
  <si>
    <t>Requires more experience than Admin Clerk</t>
  </si>
  <si>
    <t>Same job</t>
  </si>
  <si>
    <t>Unique department</t>
  </si>
  <si>
    <t>Same education and day to day job duties</t>
  </si>
  <si>
    <t>Same education and experience requirements and similar duties</t>
  </si>
  <si>
    <t>Unique education requirement for department</t>
  </si>
  <si>
    <t>Unique education and experience requirements for department</t>
  </si>
  <si>
    <t>Unique experience requirement for department</t>
  </si>
  <si>
    <t>Unique job duties for department</t>
  </si>
  <si>
    <t>Unique</t>
  </si>
  <si>
    <t>Dominance</t>
  </si>
  <si>
    <t>Gender of Class</t>
  </si>
  <si>
    <t>100% Female</t>
  </si>
  <si>
    <t>2/3 Female = 66.67% Female</t>
  </si>
  <si>
    <t>100% Male</t>
  </si>
  <si>
    <t>2/3 Male = 67% Male</t>
  </si>
  <si>
    <t>N</t>
  </si>
  <si>
    <t>1/2 Female = 50% Female</t>
  </si>
  <si>
    <t>PE Method</t>
  </si>
  <si>
    <t>Male Comparator</t>
  </si>
  <si>
    <t>PV</t>
  </si>
  <si>
    <t>Job to Job</t>
  </si>
  <si>
    <t>NA</t>
  </si>
  <si>
    <t>PE Adjustment</t>
  </si>
  <si>
    <t>Meetings &amp; District Programs Coordinator</t>
  </si>
  <si>
    <t>Seminar Coodinator</t>
  </si>
  <si>
    <t>Internal Compa-Ratio</t>
  </si>
  <si>
    <t>External Compa-Ratio</t>
  </si>
  <si>
    <t>% Difference</t>
  </si>
  <si>
    <t>Salary Adjustment</t>
  </si>
  <si>
    <t>Proposed Min</t>
  </si>
  <si>
    <t>Final Adjustment</t>
  </si>
  <si>
    <t>Total Points: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</si>
</sst>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&quot;$&quot;* #,##0_);_(&quot;$&quot;* \(#,##0\);_(&quot;$&quot;* &quot;-&quot;_);_(@_)"/>
  </numFmts>
  <fonts count="20" x14ac:knownFonts="1">
    <font>
      <sz val="10"/>
      <name val="Verdana"/>
    </font>
    <font>
      <sz val="8"/>
      <name val="Verdana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</font>
    <font>
      <i/>
      <sz val="10"/>
      <name val="Verdana"/>
      <family val="2"/>
    </font>
    <font>
      <b/>
      <sz val="10"/>
      <name val="Verdana"/>
      <family val="2"/>
    </font>
    <font>
      <strike/>
      <sz val="10"/>
      <name val="Verdana"/>
      <family val="2"/>
    </font>
    <font>
      <strike/>
      <vertAlign val="superscript"/>
      <sz val="10"/>
      <name val="Verdana"/>
      <family val="2"/>
    </font>
    <font>
      <sz val="10"/>
      <name val="Verdana"/>
    </font>
    <font>
      <sz val="10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  <font>
      <b/>
      <i/>
      <strike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9" fontId="13" fillId="0" borderId="0" applyFont="0" applyFill="0" applyBorder="0" applyAlignment="0" applyProtection="0"/>
    <xf numFmtId="0" fontId="14" fillId="0" borderId="0"/>
  </cellStyleXfs>
  <cellXfs count="79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3" fontId="6" fillId="0" borderId="0" xfId="0" applyNumberFormat="1" applyFont="1"/>
    <xf numFmtId="0" fontId="0" fillId="0" borderId="1" xfId="0" applyBorder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Continuous"/>
    </xf>
    <xf numFmtId="0" fontId="0" fillId="0" borderId="0" xfId="0" applyAlignment="1">
      <alignment wrapText="1"/>
    </xf>
    <xf numFmtId="1" fontId="0" fillId="0" borderId="0" xfId="0" applyNumberFormat="1"/>
    <xf numFmtId="0" fontId="10" fillId="0" borderId="0" xfId="0" applyFont="1"/>
    <xf numFmtId="0" fontId="6" fillId="0" borderId="0" xfId="0" applyFont="1" applyAlignment="1">
      <alignment wrapText="1"/>
    </xf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2" fontId="0" fillId="0" borderId="0" xfId="0" applyNumberFormat="1"/>
    <xf numFmtId="0" fontId="0" fillId="6" borderId="0" xfId="0" applyFill="1"/>
    <xf numFmtId="0" fontId="0" fillId="7" borderId="0" xfId="0" applyFill="1"/>
    <xf numFmtId="0" fontId="10" fillId="0" borderId="0" xfId="0" applyFont="1" applyAlignment="1">
      <alignment wrapText="1"/>
    </xf>
    <xf numFmtId="0" fontId="3" fillId="0" borderId="3" xfId="0" applyFont="1" applyBorder="1"/>
    <xf numFmtId="0" fontId="0" fillId="0" borderId="3" xfId="0" applyBorder="1"/>
    <xf numFmtId="2" fontId="0" fillId="0" borderId="3" xfId="0" applyNumberFormat="1" applyBorder="1"/>
    <xf numFmtId="3" fontId="6" fillId="0" borderId="3" xfId="0" applyNumberFormat="1" applyFont="1" applyBorder="1"/>
    <xf numFmtId="0" fontId="0" fillId="8" borderId="0" xfId="0" applyFill="1"/>
    <xf numFmtId="9" fontId="0" fillId="0" borderId="0" xfId="2" applyFont="1"/>
    <xf numFmtId="0" fontId="14" fillId="0" borderId="0" xfId="3"/>
    <xf numFmtId="0" fontId="15" fillId="0" borderId="4" xfId="3" applyFont="1" applyBorder="1" applyAlignment="1">
      <alignment horizontal="center" wrapText="1"/>
    </xf>
    <xf numFmtId="9" fontId="15" fillId="0" borderId="4" xfId="3" applyNumberFormat="1" applyFont="1" applyBorder="1" applyAlignment="1">
      <alignment horizontal="center" wrapText="1"/>
    </xf>
    <xf numFmtId="0" fontId="14" fillId="0" borderId="4" xfId="3" applyBorder="1"/>
    <xf numFmtId="0" fontId="16" fillId="0" borderId="4" xfId="3" applyFont="1" applyBorder="1" applyAlignment="1">
      <alignment horizontal="center"/>
    </xf>
    <xf numFmtId="164" fontId="14" fillId="0" borderId="4" xfId="3" applyNumberFormat="1" applyBorder="1"/>
    <xf numFmtId="0" fontId="17" fillId="0" borderId="4" xfId="3" applyFont="1" applyBorder="1"/>
    <xf numFmtId="164" fontId="14" fillId="2" borderId="4" xfId="3" applyNumberFormat="1" applyFill="1" applyBorder="1" applyAlignment="1">
      <alignment horizontal="right"/>
    </xf>
    <xf numFmtId="164" fontId="14" fillId="9" borderId="4" xfId="3" applyNumberFormat="1" applyFill="1" applyBorder="1" applyAlignment="1">
      <alignment horizontal="right"/>
    </xf>
    <xf numFmtId="164" fontId="14" fillId="9" borderId="4" xfId="3" applyNumberFormat="1" applyFill="1" applyBorder="1"/>
    <xf numFmtId="9" fontId="14" fillId="9" borderId="4" xfId="3" applyNumberFormat="1" applyFill="1" applyBorder="1"/>
    <xf numFmtId="0" fontId="14" fillId="9" borderId="4" xfId="3" applyFill="1" applyBorder="1"/>
    <xf numFmtId="0" fontId="14" fillId="0" borderId="4" xfId="3" applyBorder="1" applyAlignment="1">
      <alignment wrapText="1"/>
    </xf>
    <xf numFmtId="0" fontId="14" fillId="0" borderId="0" xfId="3" applyAlignment="1">
      <alignment wrapText="1"/>
    </xf>
    <xf numFmtId="165" fontId="15" fillId="0" borderId="4" xfId="3" applyNumberFormat="1" applyFont="1" applyBorder="1" applyAlignment="1">
      <alignment horizontal="center" wrapText="1"/>
    </xf>
    <xf numFmtId="164" fontId="14" fillId="0" borderId="4" xfId="3" applyNumberFormat="1" applyBorder="1" applyAlignment="1">
      <alignment horizontal="right"/>
    </xf>
    <xf numFmtId="0" fontId="2" fillId="0" borderId="0" xfId="1" applyFont="1"/>
    <xf numFmtId="0" fontId="8" fillId="0" borderId="0" xfId="1"/>
    <xf numFmtId="3" fontId="8" fillId="0" borderId="0" xfId="1" applyNumberFormat="1"/>
    <xf numFmtId="0" fontId="18" fillId="0" borderId="0" xfId="1" applyFont="1"/>
    <xf numFmtId="0" fontId="18" fillId="0" borderId="0" xfId="1" applyFont="1" applyAlignment="1">
      <alignment wrapText="1"/>
    </xf>
    <xf numFmtId="0" fontId="8" fillId="0" borderId="0" xfId="1" applyAlignment="1">
      <alignment wrapText="1"/>
    </xf>
    <xf numFmtId="0" fontId="17" fillId="0" borderId="0" xfId="3" applyFont="1"/>
    <xf numFmtId="164" fontId="14" fillId="0" borderId="0" xfId="3" applyNumberFormat="1" applyAlignment="1">
      <alignment horizontal="right"/>
    </xf>
    <xf numFmtId="164" fontId="14" fillId="0" borderId="0" xfId="3" applyNumberFormat="1"/>
    <xf numFmtId="9" fontId="14" fillId="0" borderId="0" xfId="3" applyNumberFormat="1"/>
    <xf numFmtId="9" fontId="14" fillId="2" borderId="4" xfId="3" applyNumberFormat="1" applyFill="1" applyBorder="1"/>
    <xf numFmtId="3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3" fontId="7" fillId="0" borderId="0" xfId="1" applyNumberFormat="1" applyFont="1"/>
    <xf numFmtId="3" fontId="7" fillId="0" borderId="3" xfId="1" applyNumberFormat="1" applyFont="1" applyBorder="1"/>
    <xf numFmtId="0" fontId="12" fillId="0" borderId="0" xfId="0" applyFont="1"/>
    <xf numFmtId="2" fontId="11" fillId="0" borderId="0" xfId="0" applyNumberFormat="1" applyFont="1"/>
    <xf numFmtId="0" fontId="19" fillId="0" borderId="4" xfId="3" applyFont="1" applyBorder="1" applyAlignment="1">
      <alignment horizontal="center"/>
    </xf>
    <xf numFmtId="9" fontId="14" fillId="0" borderId="4" xfId="3" applyNumberFormat="1" applyBorder="1"/>
    <xf numFmtId="9" fontId="0" fillId="0" borderId="0" xfId="2" applyFont="1" applyFill="1"/>
    <xf numFmtId="10" fontId="0" fillId="0" borderId="0" xfId="0" applyNumberFormat="1"/>
    <xf numFmtId="0" fontId="8" fillId="0" borderId="3" xfId="1" applyBorder="1"/>
    <xf numFmtId="3" fontId="8" fillId="0" borderId="3" xfId="1" applyNumberFormat="1" applyBorder="1"/>
    <xf numFmtId="2" fontId="8" fillId="0" borderId="3" xfId="1" applyNumberFormat="1" applyBorder="1"/>
    <xf numFmtId="0" fontId="8" fillId="0" borderId="3" xfId="1" applyBorder="1" applyAlignment="1">
      <alignment wrapText="1"/>
    </xf>
    <xf numFmtId="2" fontId="8" fillId="0" borderId="0" xfId="1" applyNumberFormat="1"/>
    <xf numFmtId="9" fontId="8" fillId="0" borderId="0" xfId="1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1" applyAlignment="1">
      <alignment wrapText="1"/>
    </xf>
    <xf numFmtId="0" fontId="8" fillId="0" borderId="3" xfId="1" applyBorder="1" applyAlignment="1">
      <alignment wrapText="1"/>
    </xf>
    <xf numFmtId="0" fontId="8" fillId="0" borderId="0" xfId="1"/>
    <xf numFmtId="0" fontId="8" fillId="0" borderId="3" xfId="1" applyBorder="1"/>
  </cellXfs>
  <cellStyles count="4">
    <cellStyle name="Normal" xfId="0" builtinId="0"/>
    <cellStyle name="Normal 2" xfId="1" xr:uid="{B5F439D0-E95A-4746-AE70-DA7FB89B6D76}"/>
    <cellStyle name="Normal 3" xfId="3" xr:uid="{F053E2D5-C61B-471C-9240-0CC7D9EDA62D}"/>
    <cellStyle name="Percent" xfId="2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Benchmark Salaries vs Total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'Benchmark-Points Regression'!$Q$1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'Benchmark-Points Regression'!$P$2:$P$23</c:f>
              <c:numCache>
                <c:formatCode>General</c:formatCode>
                <c:ptCount val="22"/>
                <c:pt idx="0">
                  <c:v>260</c:v>
                </c:pt>
                <c:pt idx="1">
                  <c:v>255</c:v>
                </c:pt>
                <c:pt idx="2">
                  <c:v>265</c:v>
                </c:pt>
                <c:pt idx="3">
                  <c:v>265</c:v>
                </c:pt>
                <c:pt idx="4">
                  <c:v>310</c:v>
                </c:pt>
                <c:pt idx="5">
                  <c:v>295</c:v>
                </c:pt>
                <c:pt idx="6">
                  <c:v>285</c:v>
                </c:pt>
                <c:pt idx="7">
                  <c:v>350</c:v>
                </c:pt>
                <c:pt idx="8">
                  <c:v>465</c:v>
                </c:pt>
                <c:pt idx="9">
                  <c:v>280</c:v>
                </c:pt>
                <c:pt idx="10">
                  <c:v>280</c:v>
                </c:pt>
                <c:pt idx="11">
                  <c:v>280</c:v>
                </c:pt>
                <c:pt idx="12">
                  <c:v>330</c:v>
                </c:pt>
                <c:pt idx="13">
                  <c:v>290</c:v>
                </c:pt>
                <c:pt idx="14">
                  <c:v>395</c:v>
                </c:pt>
                <c:pt idx="15">
                  <c:v>410</c:v>
                </c:pt>
                <c:pt idx="16">
                  <c:v>525</c:v>
                </c:pt>
                <c:pt idx="17">
                  <c:v>425</c:v>
                </c:pt>
                <c:pt idx="18">
                  <c:v>565</c:v>
                </c:pt>
                <c:pt idx="19">
                  <c:v>685</c:v>
                </c:pt>
                <c:pt idx="20">
                  <c:v>820</c:v>
                </c:pt>
                <c:pt idx="21">
                  <c:v>985</c:v>
                </c:pt>
              </c:numCache>
            </c:numRef>
          </c:xVal>
          <c:yVal>
            <c:numRef>
              <c:f>'Benchmark-Points Regression'!$Q$2:$Q$23</c:f>
              <c:numCache>
                <c:formatCode>0.00</c:formatCode>
                <c:ptCount val="22"/>
                <c:pt idx="0">
                  <c:v>35287.900355871883</c:v>
                </c:pt>
                <c:pt idx="1">
                  <c:v>38372.611464968155</c:v>
                </c:pt>
                <c:pt idx="2">
                  <c:v>38372.611464968155</c:v>
                </c:pt>
                <c:pt idx="3">
                  <c:v>38372.611464968155</c:v>
                </c:pt>
                <c:pt idx="4">
                  <c:v>39200.92592592592</c:v>
                </c:pt>
                <c:pt idx="5">
                  <c:v>44119.736842105252</c:v>
                </c:pt>
                <c:pt idx="6">
                  <c:v>47838.275862068971</c:v>
                </c:pt>
                <c:pt idx="7">
                  <c:v>47838.275862068971</c:v>
                </c:pt>
                <c:pt idx="8">
                  <c:v>47849.333333333343</c:v>
                </c:pt>
                <c:pt idx="9">
                  <c:v>50257.142857142855</c:v>
                </c:pt>
                <c:pt idx="10">
                  <c:v>50257.142857142855</c:v>
                </c:pt>
                <c:pt idx="11">
                  <c:v>50257.142857142855</c:v>
                </c:pt>
                <c:pt idx="12">
                  <c:v>53229.842931937172</c:v>
                </c:pt>
                <c:pt idx="13">
                  <c:v>55492.469879518074</c:v>
                </c:pt>
                <c:pt idx="14">
                  <c:v>57876.923076923078</c:v>
                </c:pt>
                <c:pt idx="15">
                  <c:v>68414.634146341457</c:v>
                </c:pt>
                <c:pt idx="16">
                  <c:v>69642.857142857145</c:v>
                </c:pt>
                <c:pt idx="17">
                  <c:v>70516.216216216213</c:v>
                </c:pt>
                <c:pt idx="18">
                  <c:v>85162.369337979108</c:v>
                </c:pt>
                <c:pt idx="19">
                  <c:v>150078.7878787879</c:v>
                </c:pt>
                <c:pt idx="20">
                  <c:v>178075.00000000003</c:v>
                </c:pt>
                <c:pt idx="21">
                  <c:v>265654.83870967745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7-4F36-AAEA-0E7A3EB56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696384"/>
        <c:axId val="1550697344"/>
      </c:scatterChart>
      <c:valAx>
        <c:axId val="155069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697344"/>
        <c:crosses val="autoZero"/>
        <c:crossBetween val="midCat"/>
      </c:valAx>
      <c:valAx>
        <c:axId val="155069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69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Benchmark Salaries vs Total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'Benchmark-Points Regression'!$Q$1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'Benchmark-Points Regression'!$P$2:$P$23</c:f>
              <c:numCache>
                <c:formatCode>General</c:formatCode>
                <c:ptCount val="22"/>
                <c:pt idx="0">
                  <c:v>260</c:v>
                </c:pt>
                <c:pt idx="1">
                  <c:v>255</c:v>
                </c:pt>
                <c:pt idx="2">
                  <c:v>265</c:v>
                </c:pt>
                <c:pt idx="3">
                  <c:v>265</c:v>
                </c:pt>
                <c:pt idx="4">
                  <c:v>310</c:v>
                </c:pt>
                <c:pt idx="5">
                  <c:v>295</c:v>
                </c:pt>
                <c:pt idx="6">
                  <c:v>285</c:v>
                </c:pt>
                <c:pt idx="7">
                  <c:v>350</c:v>
                </c:pt>
                <c:pt idx="8">
                  <c:v>465</c:v>
                </c:pt>
                <c:pt idx="9">
                  <c:v>280</c:v>
                </c:pt>
                <c:pt idx="10">
                  <c:v>280</c:v>
                </c:pt>
                <c:pt idx="11">
                  <c:v>280</c:v>
                </c:pt>
                <c:pt idx="12">
                  <c:v>330</c:v>
                </c:pt>
                <c:pt idx="13">
                  <c:v>290</c:v>
                </c:pt>
                <c:pt idx="14">
                  <c:v>395</c:v>
                </c:pt>
                <c:pt idx="15">
                  <c:v>410</c:v>
                </c:pt>
                <c:pt idx="16">
                  <c:v>525</c:v>
                </c:pt>
                <c:pt idx="17">
                  <c:v>425</c:v>
                </c:pt>
                <c:pt idx="18">
                  <c:v>565</c:v>
                </c:pt>
                <c:pt idx="19">
                  <c:v>685</c:v>
                </c:pt>
                <c:pt idx="20">
                  <c:v>820</c:v>
                </c:pt>
                <c:pt idx="21">
                  <c:v>985</c:v>
                </c:pt>
              </c:numCache>
            </c:numRef>
          </c:xVal>
          <c:yVal>
            <c:numRef>
              <c:f>'Benchmark-Points Regression'!$Q$2:$Q$23</c:f>
              <c:numCache>
                <c:formatCode>0.00</c:formatCode>
                <c:ptCount val="22"/>
                <c:pt idx="0">
                  <c:v>35287.900355871883</c:v>
                </c:pt>
                <c:pt idx="1">
                  <c:v>38372.611464968155</c:v>
                </c:pt>
                <c:pt idx="2">
                  <c:v>38372.611464968155</c:v>
                </c:pt>
                <c:pt idx="3">
                  <c:v>38372.611464968155</c:v>
                </c:pt>
                <c:pt idx="4">
                  <c:v>39200.92592592592</c:v>
                </c:pt>
                <c:pt idx="5">
                  <c:v>44119.736842105252</c:v>
                </c:pt>
                <c:pt idx="6">
                  <c:v>47838.275862068971</c:v>
                </c:pt>
                <c:pt idx="7">
                  <c:v>47838.275862068971</c:v>
                </c:pt>
                <c:pt idx="8">
                  <c:v>47849.333333333343</c:v>
                </c:pt>
                <c:pt idx="9">
                  <c:v>50257.142857142855</c:v>
                </c:pt>
                <c:pt idx="10">
                  <c:v>50257.142857142855</c:v>
                </c:pt>
                <c:pt idx="11">
                  <c:v>50257.142857142855</c:v>
                </c:pt>
                <c:pt idx="12">
                  <c:v>53229.842931937172</c:v>
                </c:pt>
                <c:pt idx="13">
                  <c:v>55492.469879518074</c:v>
                </c:pt>
                <c:pt idx="14">
                  <c:v>57876.923076923078</c:v>
                </c:pt>
                <c:pt idx="15">
                  <c:v>68414.634146341457</c:v>
                </c:pt>
                <c:pt idx="16">
                  <c:v>69642.857142857145</c:v>
                </c:pt>
                <c:pt idx="17">
                  <c:v>70516.216216216213</c:v>
                </c:pt>
                <c:pt idx="18">
                  <c:v>85162.369337979108</c:v>
                </c:pt>
                <c:pt idx="19">
                  <c:v>150078.7878787879</c:v>
                </c:pt>
                <c:pt idx="20">
                  <c:v>178075.00000000003</c:v>
                </c:pt>
                <c:pt idx="21">
                  <c:v>265654.83870967745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8F-45C9-B25D-EBA62FE7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278208"/>
        <c:axId val="1526275808"/>
      </c:scatterChart>
      <c:valAx>
        <c:axId val="152627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75808"/>
        <c:crosses val="autoZero"/>
        <c:crossBetween val="midCat"/>
      </c:valAx>
      <c:valAx>
        <c:axId val="152627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7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2007 Salary vs Total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'Internal-Points Regression'!$Q$1</c:f>
              <c:strCache>
                <c:ptCount val="1"/>
                <c:pt idx="0">
                  <c:v>2007 Salary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'Internal-Points Regression'!$P$2:$P$45</c:f>
              <c:numCache>
                <c:formatCode>General</c:formatCode>
                <c:ptCount val="44"/>
                <c:pt idx="0">
                  <c:v>255</c:v>
                </c:pt>
                <c:pt idx="1">
                  <c:v>260</c:v>
                </c:pt>
                <c:pt idx="2">
                  <c:v>265</c:v>
                </c:pt>
                <c:pt idx="3">
                  <c:v>265</c:v>
                </c:pt>
                <c:pt idx="4">
                  <c:v>280</c:v>
                </c:pt>
                <c:pt idx="5">
                  <c:v>280</c:v>
                </c:pt>
                <c:pt idx="6">
                  <c:v>280</c:v>
                </c:pt>
                <c:pt idx="7">
                  <c:v>280</c:v>
                </c:pt>
                <c:pt idx="8">
                  <c:v>285</c:v>
                </c:pt>
                <c:pt idx="9">
                  <c:v>290</c:v>
                </c:pt>
                <c:pt idx="10">
                  <c:v>290</c:v>
                </c:pt>
                <c:pt idx="11">
                  <c:v>295</c:v>
                </c:pt>
                <c:pt idx="12">
                  <c:v>295</c:v>
                </c:pt>
                <c:pt idx="13">
                  <c:v>310</c:v>
                </c:pt>
                <c:pt idx="14">
                  <c:v>330</c:v>
                </c:pt>
                <c:pt idx="15">
                  <c:v>335</c:v>
                </c:pt>
                <c:pt idx="16">
                  <c:v>340</c:v>
                </c:pt>
                <c:pt idx="17">
                  <c:v>345</c:v>
                </c:pt>
                <c:pt idx="18">
                  <c:v>350</c:v>
                </c:pt>
                <c:pt idx="19">
                  <c:v>350</c:v>
                </c:pt>
                <c:pt idx="20">
                  <c:v>355</c:v>
                </c:pt>
                <c:pt idx="21">
                  <c:v>355</c:v>
                </c:pt>
                <c:pt idx="22">
                  <c:v>360</c:v>
                </c:pt>
                <c:pt idx="23">
                  <c:v>365</c:v>
                </c:pt>
                <c:pt idx="24">
                  <c:v>375</c:v>
                </c:pt>
                <c:pt idx="25">
                  <c:v>395</c:v>
                </c:pt>
                <c:pt idx="26">
                  <c:v>410</c:v>
                </c:pt>
                <c:pt idx="27">
                  <c:v>425</c:v>
                </c:pt>
                <c:pt idx="28">
                  <c:v>465</c:v>
                </c:pt>
                <c:pt idx="29">
                  <c:v>525</c:v>
                </c:pt>
                <c:pt idx="30">
                  <c:v>525</c:v>
                </c:pt>
                <c:pt idx="31">
                  <c:v>545</c:v>
                </c:pt>
                <c:pt idx="32">
                  <c:v>565</c:v>
                </c:pt>
                <c:pt idx="33">
                  <c:v>565</c:v>
                </c:pt>
                <c:pt idx="34">
                  <c:v>650</c:v>
                </c:pt>
                <c:pt idx="35">
                  <c:v>655</c:v>
                </c:pt>
                <c:pt idx="36">
                  <c:v>655</c:v>
                </c:pt>
                <c:pt idx="37">
                  <c:v>670</c:v>
                </c:pt>
                <c:pt idx="38">
                  <c:v>685</c:v>
                </c:pt>
                <c:pt idx="39">
                  <c:v>760</c:v>
                </c:pt>
                <c:pt idx="40">
                  <c:v>810</c:v>
                </c:pt>
                <c:pt idx="41">
                  <c:v>820</c:v>
                </c:pt>
                <c:pt idx="42">
                  <c:v>835</c:v>
                </c:pt>
                <c:pt idx="43">
                  <c:v>985</c:v>
                </c:pt>
              </c:numCache>
            </c:numRef>
          </c:xVal>
          <c:yVal>
            <c:numRef>
              <c:f>'Internal-Points Regression'!$Q$2:$Q$45</c:f>
              <c:numCache>
                <c:formatCode>#,##0</c:formatCode>
                <c:ptCount val="44"/>
                <c:pt idx="0">
                  <c:v>36260</c:v>
                </c:pt>
                <c:pt idx="1">
                  <c:v>44526</c:v>
                </c:pt>
                <c:pt idx="2">
                  <c:v>36113</c:v>
                </c:pt>
                <c:pt idx="3">
                  <c:v>32008</c:v>
                </c:pt>
                <c:pt idx="4">
                  <c:v>46481</c:v>
                </c:pt>
                <c:pt idx="5">
                  <c:v>42908</c:v>
                </c:pt>
                <c:pt idx="6">
                  <c:v>38513</c:v>
                </c:pt>
                <c:pt idx="7">
                  <c:v>37370</c:v>
                </c:pt>
                <c:pt idx="8">
                  <c:v>43898</c:v>
                </c:pt>
                <c:pt idx="9">
                  <c:v>37258</c:v>
                </c:pt>
                <c:pt idx="10">
                  <c:v>41500</c:v>
                </c:pt>
                <c:pt idx="11">
                  <c:v>58000</c:v>
                </c:pt>
                <c:pt idx="12">
                  <c:v>32810</c:v>
                </c:pt>
                <c:pt idx="13">
                  <c:v>40429</c:v>
                </c:pt>
                <c:pt idx="14">
                  <c:v>41530</c:v>
                </c:pt>
                <c:pt idx="15">
                  <c:v>77289</c:v>
                </c:pt>
                <c:pt idx="16">
                  <c:v>68700</c:v>
                </c:pt>
                <c:pt idx="17">
                  <c:v>39104</c:v>
                </c:pt>
                <c:pt idx="18">
                  <c:v>63348</c:v>
                </c:pt>
                <c:pt idx="19">
                  <c:v>49508</c:v>
                </c:pt>
                <c:pt idx="20">
                  <c:v>56000</c:v>
                </c:pt>
                <c:pt idx="21">
                  <c:v>54390</c:v>
                </c:pt>
                <c:pt idx="22">
                  <c:v>58700</c:v>
                </c:pt>
                <c:pt idx="23">
                  <c:v>55233</c:v>
                </c:pt>
                <c:pt idx="24">
                  <c:v>59000</c:v>
                </c:pt>
                <c:pt idx="25">
                  <c:v>67040</c:v>
                </c:pt>
                <c:pt idx="26">
                  <c:v>51082</c:v>
                </c:pt>
                <c:pt idx="27">
                  <c:v>64755</c:v>
                </c:pt>
                <c:pt idx="28">
                  <c:v>47375</c:v>
                </c:pt>
                <c:pt idx="29">
                  <c:v>53042</c:v>
                </c:pt>
                <c:pt idx="30">
                  <c:v>72180</c:v>
                </c:pt>
                <c:pt idx="31">
                  <c:v>83828</c:v>
                </c:pt>
                <c:pt idx="32">
                  <c:v>69733</c:v>
                </c:pt>
                <c:pt idx="33">
                  <c:v>81247</c:v>
                </c:pt>
                <c:pt idx="34">
                  <c:v>71707</c:v>
                </c:pt>
                <c:pt idx="35">
                  <c:v>84980</c:v>
                </c:pt>
                <c:pt idx="36">
                  <c:v>70000</c:v>
                </c:pt>
                <c:pt idx="37">
                  <c:v>95151</c:v>
                </c:pt>
                <c:pt idx="38">
                  <c:v>101981</c:v>
                </c:pt>
                <c:pt idx="39">
                  <c:v>83860</c:v>
                </c:pt>
                <c:pt idx="40">
                  <c:v>114302</c:v>
                </c:pt>
                <c:pt idx="41">
                  <c:v>118571</c:v>
                </c:pt>
                <c:pt idx="42">
                  <c:v>126947</c:v>
                </c:pt>
                <c:pt idx="43">
                  <c:v>171619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4-4AFF-AF99-D0A356772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71327"/>
        <c:axId val="38370367"/>
      </c:scatterChart>
      <c:valAx>
        <c:axId val="3837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0367"/>
        <c:crosses val="autoZero"/>
        <c:crossBetween val="midCat"/>
      </c:valAx>
      <c:valAx>
        <c:axId val="3837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7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2007 Salary vs Total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'Internal-Points Regression'!$Q$1</c:f>
              <c:strCache>
                <c:ptCount val="1"/>
                <c:pt idx="0">
                  <c:v>2007 Salary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'Internal-Points Regression'!$P$2:$P$45</c:f>
              <c:numCache>
                <c:formatCode>General</c:formatCode>
                <c:ptCount val="44"/>
                <c:pt idx="0">
                  <c:v>255</c:v>
                </c:pt>
                <c:pt idx="1">
                  <c:v>260</c:v>
                </c:pt>
                <c:pt idx="2">
                  <c:v>265</c:v>
                </c:pt>
                <c:pt idx="3">
                  <c:v>265</c:v>
                </c:pt>
                <c:pt idx="4">
                  <c:v>280</c:v>
                </c:pt>
                <c:pt idx="5">
                  <c:v>280</c:v>
                </c:pt>
                <c:pt idx="6">
                  <c:v>280</c:v>
                </c:pt>
                <c:pt idx="7">
                  <c:v>280</c:v>
                </c:pt>
                <c:pt idx="8">
                  <c:v>285</c:v>
                </c:pt>
                <c:pt idx="9">
                  <c:v>290</c:v>
                </c:pt>
                <c:pt idx="10">
                  <c:v>290</c:v>
                </c:pt>
                <c:pt idx="11">
                  <c:v>295</c:v>
                </c:pt>
                <c:pt idx="12">
                  <c:v>295</c:v>
                </c:pt>
                <c:pt idx="13">
                  <c:v>310</c:v>
                </c:pt>
                <c:pt idx="14">
                  <c:v>330</c:v>
                </c:pt>
                <c:pt idx="15">
                  <c:v>335</c:v>
                </c:pt>
                <c:pt idx="16">
                  <c:v>340</c:v>
                </c:pt>
                <c:pt idx="17">
                  <c:v>345</c:v>
                </c:pt>
                <c:pt idx="18">
                  <c:v>350</c:v>
                </c:pt>
                <c:pt idx="19">
                  <c:v>350</c:v>
                </c:pt>
                <c:pt idx="20">
                  <c:v>355</c:v>
                </c:pt>
                <c:pt idx="21">
                  <c:v>355</c:v>
                </c:pt>
                <c:pt idx="22">
                  <c:v>360</c:v>
                </c:pt>
                <c:pt idx="23">
                  <c:v>365</c:v>
                </c:pt>
                <c:pt idx="24">
                  <c:v>375</c:v>
                </c:pt>
                <c:pt idx="25">
                  <c:v>395</c:v>
                </c:pt>
                <c:pt idx="26">
                  <c:v>410</c:v>
                </c:pt>
                <c:pt idx="27">
                  <c:v>425</c:v>
                </c:pt>
                <c:pt idx="28">
                  <c:v>465</c:v>
                </c:pt>
                <c:pt idx="29">
                  <c:v>525</c:v>
                </c:pt>
                <c:pt idx="30">
                  <c:v>525</c:v>
                </c:pt>
                <c:pt idx="31">
                  <c:v>545</c:v>
                </c:pt>
                <c:pt idx="32">
                  <c:v>565</c:v>
                </c:pt>
                <c:pt idx="33">
                  <c:v>565</c:v>
                </c:pt>
                <c:pt idx="34">
                  <c:v>650</c:v>
                </c:pt>
                <c:pt idx="35">
                  <c:v>655</c:v>
                </c:pt>
                <c:pt idx="36">
                  <c:v>655</c:v>
                </c:pt>
                <c:pt idx="37">
                  <c:v>670</c:v>
                </c:pt>
                <c:pt idx="38">
                  <c:v>685</c:v>
                </c:pt>
                <c:pt idx="39">
                  <c:v>760</c:v>
                </c:pt>
                <c:pt idx="40">
                  <c:v>810</c:v>
                </c:pt>
                <c:pt idx="41">
                  <c:v>820</c:v>
                </c:pt>
                <c:pt idx="42">
                  <c:v>835</c:v>
                </c:pt>
                <c:pt idx="43">
                  <c:v>985</c:v>
                </c:pt>
              </c:numCache>
            </c:numRef>
          </c:xVal>
          <c:yVal>
            <c:numRef>
              <c:f>'Internal-Points Regression'!$Q$2:$Q$45</c:f>
              <c:numCache>
                <c:formatCode>#,##0</c:formatCode>
                <c:ptCount val="44"/>
                <c:pt idx="0">
                  <c:v>36260</c:v>
                </c:pt>
                <c:pt idx="1">
                  <c:v>44526</c:v>
                </c:pt>
                <c:pt idx="2">
                  <c:v>36113</c:v>
                </c:pt>
                <c:pt idx="3">
                  <c:v>32008</c:v>
                </c:pt>
                <c:pt idx="4">
                  <c:v>46481</c:v>
                </c:pt>
                <c:pt idx="5">
                  <c:v>42908</c:v>
                </c:pt>
                <c:pt idx="6">
                  <c:v>38513</c:v>
                </c:pt>
                <c:pt idx="7">
                  <c:v>37370</c:v>
                </c:pt>
                <c:pt idx="8">
                  <c:v>43898</c:v>
                </c:pt>
                <c:pt idx="9">
                  <c:v>37258</c:v>
                </c:pt>
                <c:pt idx="10">
                  <c:v>41500</c:v>
                </c:pt>
                <c:pt idx="11">
                  <c:v>58000</c:v>
                </c:pt>
                <c:pt idx="12">
                  <c:v>32810</c:v>
                </c:pt>
                <c:pt idx="13">
                  <c:v>40429</c:v>
                </c:pt>
                <c:pt idx="14">
                  <c:v>41530</c:v>
                </c:pt>
                <c:pt idx="15">
                  <c:v>77289</c:v>
                </c:pt>
                <c:pt idx="16">
                  <c:v>68700</c:v>
                </c:pt>
                <c:pt idx="17">
                  <c:v>39104</c:v>
                </c:pt>
                <c:pt idx="18">
                  <c:v>63348</c:v>
                </c:pt>
                <c:pt idx="19">
                  <c:v>49508</c:v>
                </c:pt>
                <c:pt idx="20">
                  <c:v>56000</c:v>
                </c:pt>
                <c:pt idx="21">
                  <c:v>54390</c:v>
                </c:pt>
                <c:pt idx="22">
                  <c:v>58700</c:v>
                </c:pt>
                <c:pt idx="23">
                  <c:v>55233</c:v>
                </c:pt>
                <c:pt idx="24">
                  <c:v>59000</c:v>
                </c:pt>
                <c:pt idx="25">
                  <c:v>67040</c:v>
                </c:pt>
                <c:pt idx="26">
                  <c:v>51082</c:v>
                </c:pt>
                <c:pt idx="27">
                  <c:v>64755</c:v>
                </c:pt>
                <c:pt idx="28">
                  <c:v>47375</c:v>
                </c:pt>
                <c:pt idx="29">
                  <c:v>53042</c:v>
                </c:pt>
                <c:pt idx="30">
                  <c:v>72180</c:v>
                </c:pt>
                <c:pt idx="31">
                  <c:v>83828</c:v>
                </c:pt>
                <c:pt idx="32">
                  <c:v>69733</c:v>
                </c:pt>
                <c:pt idx="33">
                  <c:v>81247</c:v>
                </c:pt>
                <c:pt idx="34">
                  <c:v>71707</c:v>
                </c:pt>
                <c:pt idx="35">
                  <c:v>84980</c:v>
                </c:pt>
                <c:pt idx="36">
                  <c:v>70000</c:v>
                </c:pt>
                <c:pt idx="37">
                  <c:v>95151</c:v>
                </c:pt>
                <c:pt idx="38">
                  <c:v>101981</c:v>
                </c:pt>
                <c:pt idx="39">
                  <c:v>83860</c:v>
                </c:pt>
                <c:pt idx="40">
                  <c:v>114302</c:v>
                </c:pt>
                <c:pt idx="41">
                  <c:v>118571</c:v>
                </c:pt>
                <c:pt idx="42">
                  <c:v>126947</c:v>
                </c:pt>
                <c:pt idx="43">
                  <c:v>171619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6B-49C0-BD05-0FBF17BB6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285264"/>
        <c:axId val="1547285744"/>
      </c:scatterChart>
      <c:valAx>
        <c:axId val="154728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85744"/>
        <c:crosses val="autoZero"/>
        <c:crossBetween val="midCat"/>
      </c:valAx>
      <c:valAx>
        <c:axId val="15472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8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Midpoint Salary vs Pay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'Pay Structure'!$C$1</c:f>
              <c:strCache>
                <c:ptCount val="1"/>
                <c:pt idx="0">
                  <c:v>Midpoint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'Pay Structure'!$A$2:$A$12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'Pay Structure'!$C$2:$C$12</c:f>
              <c:numCache>
                <c:formatCode>0.00</c:formatCode>
                <c:ptCount val="11"/>
                <c:pt idx="0">
                  <c:v>38372.611464968155</c:v>
                </c:pt>
                <c:pt idx="1">
                  <c:v>42977.32484076434</c:v>
                </c:pt>
                <c:pt idx="2">
                  <c:v>48134.603821656063</c:v>
                </c:pt>
                <c:pt idx="3">
                  <c:v>52948.064203821676</c:v>
                </c:pt>
                <c:pt idx="4">
                  <c:v>59831.312550318486</c:v>
                </c:pt>
                <c:pt idx="5">
                  <c:v>66412.756930853531</c:v>
                </c:pt>
                <c:pt idx="6">
                  <c:v>68405.139638779132</c:v>
                </c:pt>
                <c:pt idx="7">
                  <c:v>75929.704999044843</c:v>
                </c:pt>
                <c:pt idx="8">
                  <c:v>87319.160748901559</c:v>
                </c:pt>
                <c:pt idx="9">
                  <c:v>100417.03486123678</c:v>
                </c:pt>
                <c:pt idx="10">
                  <c:v>115479.59009042229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8-4348-ADC2-5301C163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484880"/>
        <c:axId val="1104483920"/>
      </c:scatterChart>
      <c:valAx>
        <c:axId val="110448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83920"/>
        <c:crosses val="autoZero"/>
        <c:crossBetween val="midCat"/>
      </c:valAx>
      <c:valAx>
        <c:axId val="110448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8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325437</xdr:colOff>
      <xdr:row>19</xdr:row>
      <xdr:rowOff>85725</xdr:rowOff>
    </xdr:from>
    <xdr:to>
      <xdr:col>6</xdr:col>
      <xdr:colOff>312737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D30A1-C798-FB57-2F5D-E31D516BB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434975</xdr:colOff>
      <xdr:row>19</xdr:row>
      <xdr:rowOff>63500</xdr:rowOff>
    </xdr:from>
    <xdr:to>
      <xdr:col>12</xdr:col>
      <xdr:colOff>434975</xdr:colOff>
      <xdr:row>35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E1FA97-CA0C-8A86-811B-BB44370E1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112712</xdr:colOff>
      <xdr:row>20</xdr:row>
      <xdr:rowOff>0</xdr:rowOff>
    </xdr:from>
    <xdr:to>
      <xdr:col>6</xdr:col>
      <xdr:colOff>112712</xdr:colOff>
      <xdr:row>35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37D84C-777A-940C-9D4F-5FCA6DDA2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169862</xdr:colOff>
      <xdr:row>20</xdr:row>
      <xdr:rowOff>15875</xdr:rowOff>
    </xdr:from>
    <xdr:to>
      <xdr:col>12</xdr:col>
      <xdr:colOff>169862</xdr:colOff>
      <xdr:row>35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2AB3D-93D6-B11B-0563-70FAFE054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392112</xdr:colOff>
      <xdr:row>0</xdr:row>
      <xdr:rowOff>295275</xdr:rowOff>
    </xdr:from>
    <xdr:to>
      <xdr:col>14</xdr:col>
      <xdr:colOff>392112</xdr:colOff>
      <xdr:row>14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FDB11E-DFFD-9F45-729A-467699DEA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0D25-71F9-499F-AFAA-F984DD71BC41}">
  <dimension ref="A1:I27"/>
  <sheetViews>
    <sheetView topLeftCell="A9" workbookViewId="0">
      <selection activeCell="K22" sqref="K22"/>
    </sheetView>
  </sheetViews>
  <sheetFormatPr defaultRowHeight="13.5" x14ac:dyDescent="0.3"/>
  <sheetData>
    <row r="1" spans="1:9" x14ac:dyDescent="0.3">
      <c r="A1" t="s">
        <v>63</v>
      </c>
    </row>
    <row r="2" spans="1:9" ht="14" thickBot="1" x14ac:dyDescent="0.35"/>
    <row r="3" spans="1:9" x14ac:dyDescent="0.3">
      <c r="A3" s="8" t="s">
        <v>64</v>
      </c>
      <c r="B3" s="8"/>
    </row>
    <row r="4" spans="1:9" x14ac:dyDescent="0.3">
      <c r="A4" t="s">
        <v>65</v>
      </c>
      <c r="B4">
        <v>0.9432272494988122</v>
      </c>
    </row>
    <row r="5" spans="1:9" x14ac:dyDescent="0.3">
      <c r="A5" t="s">
        <v>66</v>
      </c>
      <c r="B5">
        <v>0.8896776441970945</v>
      </c>
    </row>
    <row r="6" spans="1:9" x14ac:dyDescent="0.3">
      <c r="A6" t="s">
        <v>67</v>
      </c>
      <c r="B6">
        <v>0.85624662728712309</v>
      </c>
    </row>
    <row r="7" spans="1:9" x14ac:dyDescent="0.3">
      <c r="A7" t="s">
        <v>68</v>
      </c>
      <c r="B7">
        <v>10944.401871517541</v>
      </c>
    </row>
    <row r="8" spans="1:9" ht="14" thickBot="1" x14ac:dyDescent="0.35">
      <c r="A8" s="6" t="s">
        <v>69</v>
      </c>
      <c r="B8" s="6">
        <v>44</v>
      </c>
    </row>
    <row r="10" spans="1:9" ht="14" thickBot="1" x14ac:dyDescent="0.35">
      <c r="A10" t="s">
        <v>70</v>
      </c>
    </row>
    <row r="11" spans="1:9" x14ac:dyDescent="0.3">
      <c r="A11" s="7"/>
      <c r="B11" s="7" t="s">
        <v>75</v>
      </c>
      <c r="C11" s="7" t="s">
        <v>76</v>
      </c>
      <c r="D11" s="7" t="s">
        <v>77</v>
      </c>
      <c r="E11" s="7" t="s">
        <v>78</v>
      </c>
      <c r="F11" s="7" t="s">
        <v>79</v>
      </c>
    </row>
    <row r="12" spans="1:9" x14ac:dyDescent="0.3">
      <c r="A12" t="s">
        <v>71</v>
      </c>
      <c r="B12">
        <v>10</v>
      </c>
      <c r="C12">
        <v>31876244835.811325</v>
      </c>
      <c r="D12">
        <v>3187624483.5811324</v>
      </c>
      <c r="E12">
        <v>26.612341664418039</v>
      </c>
      <c r="F12">
        <v>5.559654681513437E-13</v>
      </c>
    </row>
    <row r="13" spans="1:9" x14ac:dyDescent="0.3">
      <c r="A13" t="s">
        <v>72</v>
      </c>
      <c r="B13">
        <v>33</v>
      </c>
      <c r="C13">
        <v>3952737766.734129</v>
      </c>
      <c r="D13">
        <v>119779932.32527663</v>
      </c>
    </row>
    <row r="14" spans="1:9" ht="14" thickBot="1" x14ac:dyDescent="0.35">
      <c r="A14" s="6" t="s">
        <v>73</v>
      </c>
      <c r="B14" s="6">
        <v>43</v>
      </c>
      <c r="C14" s="6">
        <v>35828982602.545456</v>
      </c>
      <c r="D14" s="6"/>
      <c r="E14" s="6"/>
      <c r="F14" s="6"/>
    </row>
    <row r="15" spans="1:9" ht="14" thickBot="1" x14ac:dyDescent="0.35"/>
    <row r="16" spans="1:9" x14ac:dyDescent="0.3">
      <c r="A16" s="7"/>
      <c r="B16" s="7" t="s">
        <v>80</v>
      </c>
      <c r="C16" s="7" t="s">
        <v>68</v>
      </c>
      <c r="D16" s="7" t="s">
        <v>81</v>
      </c>
      <c r="E16" s="7" t="s">
        <v>82</v>
      </c>
      <c r="F16" s="7" t="s">
        <v>83</v>
      </c>
      <c r="G16" s="7" t="s">
        <v>84</v>
      </c>
      <c r="H16" s="7" t="s">
        <v>85</v>
      </c>
      <c r="I16" s="7" t="s">
        <v>86</v>
      </c>
    </row>
    <row r="17" spans="1:9" x14ac:dyDescent="0.3">
      <c r="A17" t="s">
        <v>74</v>
      </c>
      <c r="B17">
        <v>-22748.900169392324</v>
      </c>
      <c r="C17">
        <v>10804.03691962313</v>
      </c>
      <c r="D17">
        <v>-2.1055925982698196</v>
      </c>
      <c r="E17">
        <v>4.2932352474442929E-2</v>
      </c>
      <c r="F17">
        <v>-44729.878556573021</v>
      </c>
      <c r="G17">
        <v>-767.92178221162612</v>
      </c>
      <c r="H17">
        <v>-44729.878556573021</v>
      </c>
      <c r="I17">
        <v>-767.92178221162612</v>
      </c>
    </row>
    <row r="18" spans="1:9" x14ac:dyDescent="0.3">
      <c r="A18" t="s">
        <v>87</v>
      </c>
      <c r="B18">
        <v>2269.2015543314446</v>
      </c>
      <c r="C18">
        <v>2850.2600493185141</v>
      </c>
      <c r="D18">
        <v>0.79613842774591803</v>
      </c>
      <c r="E18">
        <v>0.43164179796797231</v>
      </c>
      <c r="F18">
        <v>-3529.6961177157818</v>
      </c>
      <c r="G18">
        <v>8068.0992263786711</v>
      </c>
      <c r="H18">
        <v>-3529.6961177157818</v>
      </c>
      <c r="I18">
        <v>8068.0992263786711</v>
      </c>
    </row>
    <row r="19" spans="1:9" x14ac:dyDescent="0.3">
      <c r="A19" t="s">
        <v>88</v>
      </c>
      <c r="B19">
        <v>4356.0717232116012</v>
      </c>
      <c r="C19">
        <v>2213.2025728451895</v>
      </c>
      <c r="D19">
        <v>1.9682209738314371</v>
      </c>
      <c r="E19">
        <v>5.7491241027979471E-2</v>
      </c>
      <c r="F19">
        <v>-146.72276759617307</v>
      </c>
      <c r="G19">
        <v>8858.8662140193755</v>
      </c>
      <c r="H19">
        <v>-146.72276759617307</v>
      </c>
      <c r="I19">
        <v>8858.8662140193755</v>
      </c>
    </row>
    <row r="20" spans="1:9" x14ac:dyDescent="0.3">
      <c r="A20" t="s">
        <v>89</v>
      </c>
      <c r="B20">
        <v>1338.1545210185159</v>
      </c>
      <c r="C20">
        <v>2824.3812027289691</v>
      </c>
      <c r="D20">
        <v>0.47378679610442326</v>
      </c>
      <c r="E20">
        <v>0.63877163017085214</v>
      </c>
      <c r="F20">
        <v>-4408.0922417619367</v>
      </c>
      <c r="G20">
        <v>7084.4012837989685</v>
      </c>
      <c r="H20">
        <v>-4408.0922417619367</v>
      </c>
      <c r="I20">
        <v>7084.4012837989685</v>
      </c>
    </row>
    <row r="21" spans="1:9" x14ac:dyDescent="0.3">
      <c r="A21" t="s">
        <v>98</v>
      </c>
      <c r="B21">
        <v>6479.9512555037563</v>
      </c>
      <c r="C21">
        <v>3784.4606852691327</v>
      </c>
      <c r="D21">
        <v>1.7122522320622109</v>
      </c>
      <c r="E21">
        <v>9.623370472495317E-2</v>
      </c>
      <c r="F21">
        <v>-1219.591901271905</v>
      </c>
      <c r="G21">
        <v>14179.494412279419</v>
      </c>
      <c r="H21">
        <v>-1219.591901271905</v>
      </c>
      <c r="I21">
        <v>14179.494412279419</v>
      </c>
    </row>
    <row r="22" spans="1:9" x14ac:dyDescent="0.3">
      <c r="A22" t="s">
        <v>90</v>
      </c>
      <c r="B22">
        <v>-12070.150440697458</v>
      </c>
      <c r="C22">
        <v>3419.7159293529221</v>
      </c>
      <c r="D22">
        <v>-3.5295769268710484</v>
      </c>
      <c r="E22">
        <v>1.2502452672230684E-3</v>
      </c>
      <c r="F22">
        <v>-19027.614811897161</v>
      </c>
      <c r="G22">
        <v>-5112.6860694977531</v>
      </c>
      <c r="H22">
        <v>-19027.614811897161</v>
      </c>
      <c r="I22">
        <v>-5112.6860694977531</v>
      </c>
    </row>
    <row r="23" spans="1:9" x14ac:dyDescent="0.3">
      <c r="A23" t="s">
        <v>91</v>
      </c>
      <c r="B23">
        <v>3045.7428374855431</v>
      </c>
      <c r="C23">
        <v>2676.5953044589064</v>
      </c>
      <c r="D23">
        <v>1.1379168275501637</v>
      </c>
      <c r="E23">
        <v>0.26334968815580556</v>
      </c>
      <c r="F23">
        <v>-2399.8312545171752</v>
      </c>
      <c r="G23">
        <v>8491.3169294882609</v>
      </c>
      <c r="H23">
        <v>-2399.8312545171752</v>
      </c>
      <c r="I23">
        <v>8491.3169294882609</v>
      </c>
    </row>
    <row r="24" spans="1:9" x14ac:dyDescent="0.3">
      <c r="A24" t="s">
        <v>92</v>
      </c>
      <c r="B24">
        <v>16736.868892953062</v>
      </c>
      <c r="C24">
        <v>4421.590995726805</v>
      </c>
      <c r="D24">
        <v>3.7852594030357429</v>
      </c>
      <c r="E24">
        <v>6.1624832848700118E-4</v>
      </c>
      <c r="F24">
        <v>7741.0743730826198</v>
      </c>
      <c r="G24">
        <v>25732.663412823502</v>
      </c>
      <c r="H24">
        <v>7741.0743730826198</v>
      </c>
      <c r="I24">
        <v>25732.663412823502</v>
      </c>
    </row>
    <row r="25" spans="1:9" x14ac:dyDescent="0.3">
      <c r="A25" t="s">
        <v>93</v>
      </c>
      <c r="B25">
        <v>6337.8495099240308</v>
      </c>
      <c r="C25">
        <v>2640.9485611105047</v>
      </c>
      <c r="D25">
        <v>2.3998383017573803</v>
      </c>
      <c r="E25">
        <v>2.2204558371462419E-2</v>
      </c>
      <c r="F25">
        <v>964.79926256788713</v>
      </c>
      <c r="G25">
        <v>11710.899757280175</v>
      </c>
      <c r="H25">
        <v>964.79926256788713</v>
      </c>
      <c r="I25">
        <v>11710.899757280175</v>
      </c>
    </row>
    <row r="26" spans="1:9" x14ac:dyDescent="0.3">
      <c r="A26" t="s">
        <v>94</v>
      </c>
      <c r="B26">
        <v>9503.7582317601864</v>
      </c>
      <c r="C26">
        <v>3167.0283237955223</v>
      </c>
      <c r="D26">
        <v>3.0008440910848613</v>
      </c>
      <c r="E26">
        <v>5.0960438597202045E-3</v>
      </c>
      <c r="F26">
        <v>3060.3906595428562</v>
      </c>
      <c r="G26">
        <v>15947.125803977517</v>
      </c>
      <c r="H26">
        <v>3060.3906595428562</v>
      </c>
      <c r="I26">
        <v>15947.125803977517</v>
      </c>
    </row>
    <row r="27" spans="1:9" ht="14" thickBot="1" x14ac:dyDescent="0.35">
      <c r="A27" s="6" t="s">
        <v>56</v>
      </c>
      <c r="B27" s="6">
        <v>7376.0292113506175</v>
      </c>
      <c r="C27" s="6">
        <v>3267.5312065295097</v>
      </c>
      <c r="D27" s="6">
        <v>2.2573707013451298</v>
      </c>
      <c r="E27" s="6">
        <v>3.0725581100080335E-2</v>
      </c>
      <c r="F27" s="6">
        <v>728.18698677323209</v>
      </c>
      <c r="G27" s="6">
        <v>14023.871435928002</v>
      </c>
      <c r="H27" s="6">
        <v>728.18698677323209</v>
      </c>
      <c r="I27" s="6">
        <v>14023.871435928002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3255-628C-446A-9729-D176B92E47E1}">
  <dimension ref="B1:M13"/>
  <sheetViews>
    <sheetView workbookViewId="0">
      <selection activeCell="C16" sqref="C16"/>
    </sheetView>
  </sheetViews>
  <sheetFormatPr defaultRowHeight="13.5" x14ac:dyDescent="0.3"/>
  <cols>
    <col min="2" max="2" width="20" customWidth="1"/>
    <col min="3" max="3" width="10.69140625" customWidth="1"/>
  </cols>
  <sheetData>
    <row r="1" spans="2:13" x14ac:dyDescent="0.3">
      <c r="H1" s="73" t="s">
        <v>100</v>
      </c>
      <c r="I1" s="73"/>
      <c r="J1" s="73"/>
      <c r="K1" s="73"/>
      <c r="L1" s="73"/>
      <c r="M1" s="73"/>
    </row>
    <row r="2" spans="2:13" ht="27" x14ac:dyDescent="0.3">
      <c r="B2" t="s">
        <v>95</v>
      </c>
      <c r="C2" t="s">
        <v>80</v>
      </c>
      <c r="D2" t="s">
        <v>96</v>
      </c>
      <c r="E2" s="9" t="s">
        <v>97</v>
      </c>
      <c r="F2" t="s">
        <v>99</v>
      </c>
      <c r="G2" s="12" t="s">
        <v>111</v>
      </c>
      <c r="H2" s="11">
        <v>1</v>
      </c>
      <c r="I2" s="11">
        <v>2</v>
      </c>
      <c r="J2" s="11">
        <v>3</v>
      </c>
      <c r="K2" s="11">
        <v>4</v>
      </c>
      <c r="L2" s="11">
        <v>5</v>
      </c>
      <c r="M2" s="11">
        <v>6</v>
      </c>
    </row>
    <row r="3" spans="2:13" x14ac:dyDescent="0.3">
      <c r="B3" t="s">
        <v>87</v>
      </c>
      <c r="C3">
        <v>2269.2015543314446</v>
      </c>
      <c r="D3">
        <f>C3/$C$13</f>
        <v>3.9503103193612318E-2</v>
      </c>
      <c r="E3">
        <v>5</v>
      </c>
      <c r="F3">
        <f>1000*D3/E3</f>
        <v>7.9006206387224633</v>
      </c>
      <c r="H3">
        <v>10</v>
      </c>
      <c r="I3">
        <f>H3+$H$3</f>
        <v>20</v>
      </c>
      <c r="J3">
        <f>I3+$H$3</f>
        <v>30</v>
      </c>
      <c r="K3">
        <f t="shared" ref="K3:L3" si="0">J3+$H$3</f>
        <v>40</v>
      </c>
      <c r="L3">
        <f t="shared" si="0"/>
        <v>50</v>
      </c>
    </row>
    <row r="4" spans="2:13" x14ac:dyDescent="0.3">
      <c r="B4" t="s">
        <v>88</v>
      </c>
      <c r="C4">
        <v>4356.0717232116012</v>
      </c>
      <c r="D4">
        <f t="shared" ref="D4:D11" si="1">C4/$C$13</f>
        <v>7.5832113931149886E-2</v>
      </c>
      <c r="E4">
        <v>6</v>
      </c>
      <c r="F4">
        <f t="shared" ref="F4:F11" si="2">1000*D4/E4</f>
        <v>12.638685655191649</v>
      </c>
      <c r="H4">
        <v>15</v>
      </c>
      <c r="I4">
        <f>H4+$H$4</f>
        <v>30</v>
      </c>
      <c r="J4">
        <f t="shared" ref="J4:M4" si="3">I4+$H$4</f>
        <v>45</v>
      </c>
      <c r="K4">
        <f t="shared" si="3"/>
        <v>60</v>
      </c>
      <c r="L4">
        <f t="shared" si="3"/>
        <v>75</v>
      </c>
      <c r="M4">
        <f t="shared" si="3"/>
        <v>90</v>
      </c>
    </row>
    <row r="5" spans="2:13" x14ac:dyDescent="0.3">
      <c r="B5" t="s">
        <v>89</v>
      </c>
      <c r="C5">
        <v>1338.1545210185159</v>
      </c>
      <c r="D5">
        <f t="shared" si="1"/>
        <v>2.3295090747620855E-2</v>
      </c>
      <c r="E5">
        <v>6</v>
      </c>
      <c r="F5">
        <f t="shared" si="2"/>
        <v>3.8825151246034757</v>
      </c>
      <c r="H5">
        <v>5</v>
      </c>
      <c r="I5">
        <f>H5+$H$5</f>
        <v>10</v>
      </c>
      <c r="J5">
        <f t="shared" ref="J5:M5" si="4">I5+$H$5</f>
        <v>15</v>
      </c>
      <c r="K5">
        <f t="shared" si="4"/>
        <v>20</v>
      </c>
      <c r="L5">
        <f t="shared" si="4"/>
        <v>25</v>
      </c>
      <c r="M5">
        <f t="shared" si="4"/>
        <v>30</v>
      </c>
    </row>
    <row r="6" spans="2:13" x14ac:dyDescent="0.3">
      <c r="B6" t="s">
        <v>98</v>
      </c>
      <c r="C6">
        <v>6479.9512555037563</v>
      </c>
      <c r="D6">
        <f t="shared" si="1"/>
        <v>0.11280539740823475</v>
      </c>
      <c r="E6">
        <v>5</v>
      </c>
      <c r="F6">
        <f t="shared" si="2"/>
        <v>22.561079481646949</v>
      </c>
      <c r="H6">
        <v>25</v>
      </c>
      <c r="I6">
        <f>H6+$H$6</f>
        <v>50</v>
      </c>
      <c r="J6">
        <f t="shared" ref="J6:L6" si="5">I6+$H$6</f>
        <v>75</v>
      </c>
      <c r="K6">
        <f t="shared" si="5"/>
        <v>100</v>
      </c>
      <c r="L6">
        <f t="shared" si="5"/>
        <v>125</v>
      </c>
    </row>
    <row r="7" spans="2:13" x14ac:dyDescent="0.3">
      <c r="B7" t="s">
        <v>91</v>
      </c>
      <c r="C7">
        <v>3045.7428374855431</v>
      </c>
      <c r="D7">
        <f t="shared" si="1"/>
        <v>5.302142217412889E-2</v>
      </c>
      <c r="E7">
        <v>5</v>
      </c>
      <c r="F7">
        <f t="shared" si="2"/>
        <v>10.604284434825779</v>
      </c>
      <c r="H7">
        <v>10</v>
      </c>
      <c r="I7">
        <f>H7+$H$7</f>
        <v>20</v>
      </c>
      <c r="J7">
        <f t="shared" ref="J7:L7" si="6">I7+$H$7</f>
        <v>30</v>
      </c>
      <c r="K7">
        <f t="shared" si="6"/>
        <v>40</v>
      </c>
      <c r="L7">
        <f t="shared" si="6"/>
        <v>50</v>
      </c>
    </row>
    <row r="8" spans="2:13" x14ac:dyDescent="0.3">
      <c r="B8" t="s">
        <v>92</v>
      </c>
      <c r="C8">
        <v>16736.868892953062</v>
      </c>
      <c r="D8">
        <f t="shared" si="1"/>
        <v>0.29136162794982579</v>
      </c>
      <c r="E8">
        <v>4</v>
      </c>
      <c r="F8">
        <f t="shared" si="2"/>
        <v>72.840406987456447</v>
      </c>
      <c r="H8">
        <v>70</v>
      </c>
      <c r="I8">
        <f>H8+$H$8</f>
        <v>140</v>
      </c>
      <c r="J8">
        <f t="shared" ref="J8:K8" si="7">I8+$H$8</f>
        <v>210</v>
      </c>
      <c r="K8">
        <f t="shared" si="7"/>
        <v>280</v>
      </c>
    </row>
    <row r="9" spans="2:13" x14ac:dyDescent="0.3">
      <c r="B9" t="s">
        <v>93</v>
      </c>
      <c r="C9">
        <v>6337.8495099240308</v>
      </c>
      <c r="D9">
        <f t="shared" si="1"/>
        <v>0.11033163745997744</v>
      </c>
      <c r="E9">
        <v>5</v>
      </c>
      <c r="F9">
        <f t="shared" si="2"/>
        <v>22.066327491995487</v>
      </c>
      <c r="H9">
        <v>20</v>
      </c>
      <c r="I9">
        <f>H9+$H$9</f>
        <v>40</v>
      </c>
      <c r="J9">
        <f t="shared" ref="J9:L9" si="8">I9+$H$9</f>
        <v>60</v>
      </c>
      <c r="K9">
        <f t="shared" si="8"/>
        <v>80</v>
      </c>
      <c r="L9">
        <f t="shared" si="8"/>
        <v>100</v>
      </c>
    </row>
    <row r="10" spans="2:13" x14ac:dyDescent="0.3">
      <c r="B10" t="s">
        <v>94</v>
      </c>
      <c r="C10">
        <v>9503.7582317601864</v>
      </c>
      <c r="D10">
        <f t="shared" si="1"/>
        <v>0.16544495196548301</v>
      </c>
      <c r="E10">
        <v>4</v>
      </c>
      <c r="F10">
        <f t="shared" si="2"/>
        <v>41.36123799137075</v>
      </c>
      <c r="H10">
        <v>40</v>
      </c>
      <c r="I10">
        <f>H10+$H$10</f>
        <v>80</v>
      </c>
      <c r="J10">
        <f t="shared" ref="J10:K10" si="9">I10+$H$10</f>
        <v>120</v>
      </c>
      <c r="K10">
        <f t="shared" si="9"/>
        <v>160</v>
      </c>
    </row>
    <row r="11" spans="2:13" x14ac:dyDescent="0.3">
      <c r="B11" t="s">
        <v>56</v>
      </c>
      <c r="C11">
        <v>7376.0292113506175</v>
      </c>
      <c r="D11">
        <f t="shared" si="1"/>
        <v>0.12840465516996702</v>
      </c>
      <c r="E11">
        <v>4</v>
      </c>
      <c r="F11">
        <f t="shared" si="2"/>
        <v>32.101163792491754</v>
      </c>
      <c r="H11">
        <v>30</v>
      </c>
      <c r="I11">
        <f>H11+$H$11</f>
        <v>60</v>
      </c>
      <c r="J11">
        <f t="shared" ref="J11:K11" si="10">I11+$H$11</f>
        <v>90</v>
      </c>
      <c r="K11">
        <f t="shared" si="10"/>
        <v>120</v>
      </c>
    </row>
    <row r="13" spans="2:13" ht="27" x14ac:dyDescent="0.3">
      <c r="B13" t="s">
        <v>73</v>
      </c>
      <c r="C13" s="10">
        <f>SUM(C3:C11)</f>
        <v>57443.627737538758</v>
      </c>
      <c r="D13">
        <f>SUM(D3:D11)</f>
        <v>1</v>
      </c>
      <c r="I13" s="12" t="s">
        <v>227</v>
      </c>
      <c r="J13">
        <f>L3+M4+M5+L6+L7+K8+L9+K10+K11</f>
        <v>1005</v>
      </c>
    </row>
  </sheetData>
  <mergeCells count="1">
    <mergeCell ref="H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FE14-8265-4C82-8D4A-8F969D745FA8}">
  <dimension ref="A1:G14"/>
  <sheetViews>
    <sheetView workbookViewId="0">
      <selection activeCell="I20" sqref="I20"/>
    </sheetView>
  </sheetViews>
  <sheetFormatPr defaultRowHeight="13.5" x14ac:dyDescent="0.3"/>
  <sheetData>
    <row r="1" spans="1:7" ht="27" x14ac:dyDescent="0.3">
      <c r="A1" s="12" t="s">
        <v>112</v>
      </c>
      <c r="B1" s="12" t="s">
        <v>113</v>
      </c>
      <c r="C1" s="12" t="s">
        <v>114</v>
      </c>
      <c r="D1" s="12" t="s">
        <v>115</v>
      </c>
      <c r="E1" s="12" t="s">
        <v>116</v>
      </c>
    </row>
    <row r="2" spans="1:7" x14ac:dyDescent="0.3">
      <c r="A2">
        <v>1</v>
      </c>
      <c r="B2">
        <f>MIN(Data!W3:W46)</f>
        <v>255</v>
      </c>
      <c r="C2" s="10">
        <f>B2+D2</f>
        <v>257.55</v>
      </c>
      <c r="D2" s="10">
        <f>B2*E2</f>
        <v>2.5500000000000003</v>
      </c>
      <c r="E2" s="13">
        <v>0.01</v>
      </c>
    </row>
    <row r="3" spans="1:7" x14ac:dyDescent="0.3">
      <c r="A3">
        <v>2</v>
      </c>
      <c r="B3" s="10">
        <f>C2+1</f>
        <v>258.55</v>
      </c>
      <c r="C3" s="10">
        <f t="shared" ref="C3:C14" si="0">B3+D3</f>
        <v>268.892</v>
      </c>
      <c r="D3" s="10">
        <f t="shared" ref="D3:D14" si="1">B3*E3</f>
        <v>10.342000000000001</v>
      </c>
      <c r="E3" s="13">
        <f>E2+3%</f>
        <v>0.04</v>
      </c>
      <c r="G3" s="10"/>
    </row>
    <row r="4" spans="1:7" x14ac:dyDescent="0.3">
      <c r="A4">
        <v>3</v>
      </c>
      <c r="B4" s="10">
        <f t="shared" ref="B4:B14" si="2">C3+1</f>
        <v>269.892</v>
      </c>
      <c r="C4" s="10">
        <f t="shared" si="0"/>
        <v>288.78444000000002</v>
      </c>
      <c r="D4" s="10">
        <f t="shared" si="1"/>
        <v>18.892440000000001</v>
      </c>
      <c r="E4" s="13">
        <f t="shared" ref="E4:E14" si="3">E3+3%</f>
        <v>7.0000000000000007E-2</v>
      </c>
    </row>
    <row r="5" spans="1:7" x14ac:dyDescent="0.3">
      <c r="A5">
        <v>4</v>
      </c>
      <c r="B5" s="10">
        <f t="shared" si="2"/>
        <v>289.78444000000002</v>
      </c>
      <c r="C5" s="10">
        <f t="shared" si="0"/>
        <v>318.76288400000004</v>
      </c>
      <c r="D5" s="10">
        <f t="shared" si="1"/>
        <v>28.978444000000003</v>
      </c>
      <c r="E5" s="13">
        <f t="shared" si="3"/>
        <v>0.1</v>
      </c>
    </row>
    <row r="6" spans="1:7" x14ac:dyDescent="0.3">
      <c r="A6">
        <v>5</v>
      </c>
      <c r="B6" s="10">
        <f t="shared" si="2"/>
        <v>319.76288400000004</v>
      </c>
      <c r="C6" s="10">
        <f t="shared" si="0"/>
        <v>361.33205892000007</v>
      </c>
      <c r="D6" s="10">
        <f t="shared" si="1"/>
        <v>41.569174920000009</v>
      </c>
      <c r="E6" s="13">
        <f t="shared" si="3"/>
        <v>0.13</v>
      </c>
    </row>
    <row r="7" spans="1:7" x14ac:dyDescent="0.3">
      <c r="A7">
        <v>6</v>
      </c>
      <c r="B7" s="10">
        <f t="shared" si="2"/>
        <v>362.33205892000007</v>
      </c>
      <c r="C7" s="10">
        <f t="shared" si="0"/>
        <v>420.3051883472001</v>
      </c>
      <c r="D7" s="10">
        <f t="shared" si="1"/>
        <v>57.973129427200014</v>
      </c>
      <c r="E7" s="13">
        <f t="shared" si="3"/>
        <v>0.16</v>
      </c>
    </row>
    <row r="8" spans="1:7" x14ac:dyDescent="0.3">
      <c r="A8">
        <v>7</v>
      </c>
      <c r="B8" s="10">
        <f t="shared" si="2"/>
        <v>421.3051883472001</v>
      </c>
      <c r="C8" s="10">
        <f t="shared" si="0"/>
        <v>501.35317413316812</v>
      </c>
      <c r="D8" s="10">
        <f t="shared" si="1"/>
        <v>80.047985785968024</v>
      </c>
      <c r="E8" s="13">
        <f t="shared" si="3"/>
        <v>0.19</v>
      </c>
    </row>
    <row r="9" spans="1:7" x14ac:dyDescent="0.3">
      <c r="A9">
        <v>8</v>
      </c>
      <c r="B9" s="10">
        <f t="shared" si="2"/>
        <v>502.35317413316812</v>
      </c>
      <c r="C9" s="10">
        <f t="shared" si="0"/>
        <v>612.87087244246516</v>
      </c>
      <c r="D9" s="10">
        <f t="shared" si="1"/>
        <v>110.51769830929699</v>
      </c>
      <c r="E9" s="13">
        <f t="shared" si="3"/>
        <v>0.22</v>
      </c>
    </row>
    <row r="10" spans="1:7" x14ac:dyDescent="0.3">
      <c r="A10">
        <v>9</v>
      </c>
      <c r="B10" s="10">
        <f t="shared" si="2"/>
        <v>613.87087244246516</v>
      </c>
      <c r="C10" s="10">
        <f t="shared" si="0"/>
        <v>767.33859055308142</v>
      </c>
      <c r="D10" s="10">
        <f t="shared" si="1"/>
        <v>153.46771811061629</v>
      </c>
      <c r="E10" s="13">
        <f t="shared" si="3"/>
        <v>0.25</v>
      </c>
    </row>
    <row r="11" spans="1:7" x14ac:dyDescent="0.3">
      <c r="A11">
        <v>10</v>
      </c>
      <c r="B11" s="10">
        <f t="shared" si="2"/>
        <v>768.33859055308142</v>
      </c>
      <c r="C11" s="10">
        <f t="shared" si="0"/>
        <v>983.47339590794422</v>
      </c>
      <c r="D11" s="10">
        <f t="shared" si="1"/>
        <v>215.13480535486281</v>
      </c>
      <c r="E11" s="13">
        <f t="shared" si="3"/>
        <v>0.28000000000000003</v>
      </c>
    </row>
    <row r="12" spans="1:7" x14ac:dyDescent="0.3">
      <c r="A12">
        <v>11</v>
      </c>
      <c r="B12" s="10">
        <f t="shared" si="2"/>
        <v>984.47339590794422</v>
      </c>
      <c r="C12" s="10">
        <f t="shared" si="0"/>
        <v>1289.660148639407</v>
      </c>
      <c r="D12" s="10">
        <f t="shared" si="1"/>
        <v>305.18675273146278</v>
      </c>
      <c r="E12" s="13">
        <f t="shared" si="3"/>
        <v>0.31000000000000005</v>
      </c>
    </row>
    <row r="13" spans="1:7" x14ac:dyDescent="0.3">
      <c r="A13">
        <v>12</v>
      </c>
      <c r="B13" s="10">
        <f t="shared" si="2"/>
        <v>1290.660148639407</v>
      </c>
      <c r="C13" s="10">
        <f t="shared" si="0"/>
        <v>1729.4845991768054</v>
      </c>
      <c r="D13" s="10">
        <f t="shared" si="1"/>
        <v>438.82445053739849</v>
      </c>
      <c r="E13" s="13">
        <f t="shared" si="3"/>
        <v>0.34000000000000008</v>
      </c>
    </row>
    <row r="14" spans="1:7" x14ac:dyDescent="0.3">
      <c r="A14">
        <v>13</v>
      </c>
      <c r="B14" s="10">
        <f t="shared" si="2"/>
        <v>1730.4845991768054</v>
      </c>
      <c r="C14" s="10">
        <f t="shared" si="0"/>
        <v>2370.7639008722235</v>
      </c>
      <c r="D14" s="10">
        <f t="shared" si="1"/>
        <v>640.27930169541821</v>
      </c>
      <c r="E14" s="13">
        <f t="shared" si="3"/>
        <v>0.37000000000000011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BB06-180B-4565-97D3-C16A72BE08E3}">
  <dimension ref="A1:AG49"/>
  <sheetViews>
    <sheetView topLeftCell="C6" workbookViewId="0">
      <selection activeCell="I42" sqref="I42"/>
    </sheetView>
  </sheetViews>
  <sheetFormatPr defaultColWidth="11" defaultRowHeight="13.5" x14ac:dyDescent="0.3"/>
  <cols>
    <col min="1" max="1" width="38" customWidth="1"/>
    <col min="2" max="3" width="20.69140625" customWidth="1"/>
    <col min="8" max="8" width="13.69140625" customWidth="1"/>
    <col min="9" max="9" width="12.69140625" customWidth="1"/>
    <col min="12" max="12" width="27" customWidth="1"/>
    <col min="13" max="13" width="14.3828125" customWidth="1"/>
  </cols>
  <sheetData>
    <row r="1" spans="1:32" ht="15" x14ac:dyDescent="0.3">
      <c r="D1" s="74" t="s">
        <v>57</v>
      </c>
      <c r="E1" s="74"/>
      <c r="F1" s="74"/>
      <c r="G1" s="74" t="s">
        <v>60</v>
      </c>
      <c r="H1" s="74"/>
      <c r="I1" s="74"/>
      <c r="J1" s="74"/>
      <c r="K1" s="74"/>
      <c r="L1" s="2" t="s">
        <v>58</v>
      </c>
      <c r="M1" s="4" t="s">
        <v>59</v>
      </c>
    </row>
    <row r="2" spans="1:32" ht="43.5" x14ac:dyDescent="0.35">
      <c r="A2" s="1" t="s">
        <v>45</v>
      </c>
      <c r="B2" s="1" t="s">
        <v>30</v>
      </c>
      <c r="C2" s="1" t="s">
        <v>62</v>
      </c>
      <c r="D2" s="57" t="s">
        <v>31</v>
      </c>
      <c r="E2" s="57" t="s">
        <v>32</v>
      </c>
      <c r="F2" s="58" t="s">
        <v>0</v>
      </c>
      <c r="G2" s="58" t="s">
        <v>98</v>
      </c>
      <c r="H2" s="58" t="s">
        <v>1</v>
      </c>
      <c r="I2" s="58" t="s">
        <v>2</v>
      </c>
      <c r="J2" s="58" t="s">
        <v>3</v>
      </c>
      <c r="K2" s="58" t="s">
        <v>4</v>
      </c>
      <c r="L2" s="58" t="s">
        <v>5</v>
      </c>
      <c r="M2" s="58" t="s">
        <v>56</v>
      </c>
      <c r="N2" s="58" t="s">
        <v>101</v>
      </c>
      <c r="O2" s="58" t="s">
        <v>102</v>
      </c>
      <c r="P2" s="58" t="s">
        <v>103</v>
      </c>
      <c r="Q2" s="58" t="s">
        <v>104</v>
      </c>
      <c r="R2" s="58" t="s">
        <v>105</v>
      </c>
      <c r="S2" s="58" t="s">
        <v>106</v>
      </c>
      <c r="T2" s="58" t="s">
        <v>107</v>
      </c>
      <c r="U2" s="58" t="s">
        <v>108</v>
      </c>
      <c r="V2" s="58" t="s">
        <v>109</v>
      </c>
      <c r="W2" s="58" t="s">
        <v>110</v>
      </c>
      <c r="X2" s="58" t="s">
        <v>112</v>
      </c>
      <c r="Y2" s="58" t="s">
        <v>118</v>
      </c>
      <c r="Z2" s="58" t="s">
        <v>117</v>
      </c>
      <c r="AB2" s="1"/>
      <c r="AC2" s="1"/>
      <c r="AE2" s="1"/>
      <c r="AF2" s="1"/>
    </row>
    <row r="3" spans="1:32" ht="14.5" x14ac:dyDescent="0.35">
      <c r="A3" s="18" t="s">
        <v>23</v>
      </c>
      <c r="B3" s="18" t="s">
        <v>27</v>
      </c>
      <c r="C3" s="5">
        <v>36260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f>INDEX('Points Schedule'!$H$3:$M$3, MATCH(D3, 'Points Schedule'!$H$2:$M$2, 0))</f>
        <v>10</v>
      </c>
      <c r="O3">
        <f>INDEX('Points Schedule'!$H$4:$M$4, MATCH(E3, 'Points Schedule'!$H$2:$M$2, 0))</f>
        <v>15</v>
      </c>
      <c r="P3">
        <f>INDEX('Points Schedule'!$H$5:$M$5, MATCH(F3, 'Points Schedule'!$H$2:$M$2, 0))</f>
        <v>5</v>
      </c>
      <c r="Q3">
        <f>INDEX('Points Schedule'!$H$6:$M$6, MATCH(G3, 'Points Schedule'!$H$2:$M$2, 0))</f>
        <v>25</v>
      </c>
      <c r="R3">
        <f>INDEX('Points Schedule'!$H$7:$M$7, MATCH(I3, 'Points Schedule'!$H$2:$M$2, 0))</f>
        <v>10</v>
      </c>
      <c r="S3">
        <f>INDEX('Points Schedule'!$H$8:$M$8, MATCH(J3, 'Points Schedule'!$H$2:$M$2, 0))</f>
        <v>70</v>
      </c>
      <c r="T3">
        <f>INDEX('Points Schedule'!$H$9:$M$9, MATCH(K3, 'Points Schedule'!$H$2:$M$2, 0))</f>
        <v>20</v>
      </c>
      <c r="U3">
        <f>INDEX('Points Schedule'!$H$10:$M$10, MATCH(L3, 'Points Schedule'!$H$2:$M$2, 0))</f>
        <v>40</v>
      </c>
      <c r="V3">
        <f>INDEX('Points Schedule'!$H$11:$M$11, MATCH(M3, 'Points Schedule'!$H$2:$M$2, 0))</f>
        <v>60</v>
      </c>
      <c r="W3">
        <f t="shared" ref="W3:W46" si="0">SUM(N3:V3)</f>
        <v>255</v>
      </c>
      <c r="X3" cm="1">
        <f t="array" ref="X3">INDEX(Clusters!A:A, MATCH(1, (W3&gt;=Clusters!B:B)*(W3&lt;=Clusters!C:C), 0))</f>
        <v>1</v>
      </c>
      <c r="Y3">
        <v>38.372611464968152</v>
      </c>
      <c r="Z3" s="19">
        <f>Y3*1000</f>
        <v>38372.611464968155</v>
      </c>
      <c r="AB3" s="5"/>
      <c r="AC3" s="5"/>
      <c r="AD3" s="19"/>
      <c r="AE3" s="5"/>
      <c r="AF3" s="5"/>
    </row>
    <row r="4" spans="1:32" ht="14.5" x14ac:dyDescent="0.35">
      <c r="A4" s="18" t="s">
        <v>37</v>
      </c>
      <c r="B4" s="18" t="s">
        <v>20</v>
      </c>
      <c r="C4" s="5">
        <v>44526</v>
      </c>
      <c r="D4">
        <v>1</v>
      </c>
      <c r="E4">
        <v>2</v>
      </c>
      <c r="F4">
        <v>1</v>
      </c>
      <c r="G4">
        <v>1</v>
      </c>
      <c r="H4">
        <v>1</v>
      </c>
      <c r="I4">
        <v>1</v>
      </c>
      <c r="J4">
        <v>1</v>
      </c>
      <c r="K4">
        <v>2</v>
      </c>
      <c r="L4">
        <v>1</v>
      </c>
      <c r="M4">
        <v>1</v>
      </c>
      <c r="N4">
        <f>INDEX('Points Schedule'!$H$3:$M$3, MATCH(D4, 'Points Schedule'!$H$2:$M$2, 0))</f>
        <v>10</v>
      </c>
      <c r="O4">
        <f>INDEX('Points Schedule'!$H$4:$M$4, MATCH(E4, 'Points Schedule'!$H$2:$M$2, 0))</f>
        <v>30</v>
      </c>
      <c r="P4">
        <f>INDEX('Points Schedule'!$H$5:$M$5, MATCH(F4, 'Points Schedule'!$H$2:$M$2, 0))</f>
        <v>5</v>
      </c>
      <c r="Q4">
        <f>INDEX('Points Schedule'!$H$6:$M$6, MATCH(G4, 'Points Schedule'!$H$2:$M$2, 0))</f>
        <v>25</v>
      </c>
      <c r="R4">
        <f>INDEX('Points Schedule'!$H$7:$M$7, MATCH(I4, 'Points Schedule'!$H$2:$M$2, 0))</f>
        <v>10</v>
      </c>
      <c r="S4">
        <f>INDEX('Points Schedule'!$H$8:$M$8, MATCH(J4, 'Points Schedule'!$H$2:$M$2, 0))</f>
        <v>70</v>
      </c>
      <c r="T4">
        <f>INDEX('Points Schedule'!$H$9:$M$9, MATCH(K4, 'Points Schedule'!$H$2:$M$2, 0))</f>
        <v>40</v>
      </c>
      <c r="U4">
        <f>INDEX('Points Schedule'!$H$10:$M$10, MATCH(L4, 'Points Schedule'!$H$2:$M$2, 0))</f>
        <v>40</v>
      </c>
      <c r="V4">
        <f>INDEX('Points Schedule'!$H$11:$M$11, MATCH(M4, 'Points Schedule'!$H$2:$M$2, 0))</f>
        <v>30</v>
      </c>
      <c r="W4">
        <f t="shared" si="0"/>
        <v>260</v>
      </c>
      <c r="X4" cm="1">
        <f t="array" ref="X4">INDEX(Clusters!A:A, MATCH(1, (W4&gt;=Clusters!B:B)*(W4&lt;=Clusters!C:C), 0))</f>
        <v>2</v>
      </c>
      <c r="Y4">
        <v>35.287900355871884</v>
      </c>
      <c r="Z4" s="19">
        <f>Y4*1000</f>
        <v>35287.900355871883</v>
      </c>
      <c r="AB4" s="5"/>
      <c r="AC4" s="5"/>
      <c r="AD4" s="19"/>
      <c r="AE4" s="5"/>
      <c r="AF4" s="5"/>
    </row>
    <row r="5" spans="1:32" ht="14.5" x14ac:dyDescent="0.35">
      <c r="A5" s="18" t="s">
        <v>33</v>
      </c>
      <c r="B5" s="18" t="s">
        <v>20</v>
      </c>
      <c r="C5" s="5">
        <v>36113</v>
      </c>
      <c r="D5">
        <v>1</v>
      </c>
      <c r="E5">
        <v>1</v>
      </c>
      <c r="F5">
        <v>1</v>
      </c>
      <c r="G5">
        <v>1</v>
      </c>
      <c r="H5">
        <v>1</v>
      </c>
      <c r="I5">
        <v>2</v>
      </c>
      <c r="J5">
        <v>1</v>
      </c>
      <c r="K5">
        <v>1</v>
      </c>
      <c r="L5">
        <v>1</v>
      </c>
      <c r="M5">
        <v>2</v>
      </c>
      <c r="N5">
        <f>INDEX('Points Schedule'!$H$3:$M$3, MATCH(D5, 'Points Schedule'!$H$2:$M$2, 0))</f>
        <v>10</v>
      </c>
      <c r="O5">
        <f>INDEX('Points Schedule'!$H$4:$M$4, MATCH(E5, 'Points Schedule'!$H$2:$M$2, 0))</f>
        <v>15</v>
      </c>
      <c r="P5">
        <f>INDEX('Points Schedule'!$H$5:$M$5, MATCH(F5, 'Points Schedule'!$H$2:$M$2, 0))</f>
        <v>5</v>
      </c>
      <c r="Q5">
        <f>INDEX('Points Schedule'!$H$6:$M$6, MATCH(G5, 'Points Schedule'!$H$2:$M$2, 0))</f>
        <v>25</v>
      </c>
      <c r="R5">
        <f>INDEX('Points Schedule'!$H$7:$M$7, MATCH(I5, 'Points Schedule'!$H$2:$M$2, 0))</f>
        <v>20</v>
      </c>
      <c r="S5">
        <f>INDEX('Points Schedule'!$H$8:$M$8, MATCH(J5, 'Points Schedule'!$H$2:$M$2, 0))</f>
        <v>70</v>
      </c>
      <c r="T5">
        <f>INDEX('Points Schedule'!$H$9:$M$9, MATCH(K5, 'Points Schedule'!$H$2:$M$2, 0))</f>
        <v>20</v>
      </c>
      <c r="U5">
        <f>INDEX('Points Schedule'!$H$10:$M$10, MATCH(L5, 'Points Schedule'!$H$2:$M$2, 0))</f>
        <v>40</v>
      </c>
      <c r="V5">
        <f>INDEX('Points Schedule'!$H$11:$M$11, MATCH(M5, 'Points Schedule'!$H$2:$M$2, 0))</f>
        <v>60</v>
      </c>
      <c r="W5">
        <f t="shared" si="0"/>
        <v>265</v>
      </c>
      <c r="X5" cm="1">
        <f t="array" ref="X5">INDEX(Clusters!A:A, MATCH(1, (W5&gt;=Clusters!B:B)*(W5&lt;=Clusters!C:C), 0))</f>
        <v>2</v>
      </c>
      <c r="Y5">
        <v>38.372611464968152</v>
      </c>
      <c r="Z5" s="19">
        <f>Y5*1000</f>
        <v>38372.611464968155</v>
      </c>
      <c r="AB5" s="5"/>
      <c r="AC5" s="5"/>
      <c r="AD5" s="19"/>
      <c r="AE5" s="5"/>
      <c r="AF5" s="5"/>
    </row>
    <row r="6" spans="1:32" s="24" customFormat="1" ht="14.5" x14ac:dyDescent="0.35">
      <c r="A6" s="23" t="s">
        <v>33</v>
      </c>
      <c r="B6" s="23" t="s">
        <v>20</v>
      </c>
      <c r="C6" s="26">
        <v>32008</v>
      </c>
      <c r="D6" s="24">
        <v>1</v>
      </c>
      <c r="E6" s="24">
        <v>1</v>
      </c>
      <c r="F6" s="24">
        <v>1</v>
      </c>
      <c r="G6" s="24">
        <v>1</v>
      </c>
      <c r="H6" s="24">
        <v>1</v>
      </c>
      <c r="I6" s="24">
        <v>2</v>
      </c>
      <c r="J6" s="24">
        <v>1</v>
      </c>
      <c r="K6" s="24">
        <v>1</v>
      </c>
      <c r="L6" s="24">
        <v>1</v>
      </c>
      <c r="M6" s="24">
        <v>2</v>
      </c>
      <c r="N6" s="24">
        <f>INDEX('Points Schedule'!$H$3:$M$3, MATCH(D6, 'Points Schedule'!$H$2:$M$2, 0))</f>
        <v>10</v>
      </c>
      <c r="O6" s="24">
        <f>INDEX('Points Schedule'!$H$4:$M$4, MATCH(E6, 'Points Schedule'!$H$2:$M$2, 0))</f>
        <v>15</v>
      </c>
      <c r="P6" s="24">
        <f>INDEX('Points Schedule'!$H$5:$M$5, MATCH(F6, 'Points Schedule'!$H$2:$M$2, 0))</f>
        <v>5</v>
      </c>
      <c r="Q6" s="24">
        <f>INDEX('Points Schedule'!$H$6:$M$6, MATCH(G6, 'Points Schedule'!$H$2:$M$2, 0))</f>
        <v>25</v>
      </c>
      <c r="R6" s="24">
        <f>INDEX('Points Schedule'!$H$7:$M$7, MATCH(I6, 'Points Schedule'!$H$2:$M$2, 0))</f>
        <v>20</v>
      </c>
      <c r="S6" s="24">
        <f>INDEX('Points Schedule'!$H$8:$M$8, MATCH(J6, 'Points Schedule'!$H$2:$M$2, 0))</f>
        <v>70</v>
      </c>
      <c r="T6" s="24">
        <f>INDEX('Points Schedule'!$H$9:$M$9, MATCH(K6, 'Points Schedule'!$H$2:$M$2, 0))</f>
        <v>20</v>
      </c>
      <c r="U6" s="24">
        <f>INDEX('Points Schedule'!$H$10:$M$10, MATCH(L6, 'Points Schedule'!$H$2:$M$2, 0))</f>
        <v>40</v>
      </c>
      <c r="V6" s="24">
        <f>INDEX('Points Schedule'!$H$11:$M$11, MATCH(M6, 'Points Schedule'!$H$2:$M$2, 0))</f>
        <v>60</v>
      </c>
      <c r="W6" s="24">
        <f t="shared" si="0"/>
        <v>265</v>
      </c>
      <c r="X6" s="24" cm="1">
        <f t="array" ref="X6">INDEX(Clusters!A:A, MATCH(1, (W6&gt;=Clusters!B:B)*(W6&lt;=Clusters!C:C), 0))</f>
        <v>2</v>
      </c>
      <c r="Y6" s="24">
        <v>38.372611464968152</v>
      </c>
      <c r="Z6" s="25">
        <f>Y6*1000</f>
        <v>38372.611464968155</v>
      </c>
      <c r="AB6" s="26"/>
      <c r="AC6" s="26"/>
      <c r="AD6" s="25"/>
      <c r="AE6" s="26"/>
      <c r="AF6" s="26"/>
    </row>
    <row r="7" spans="1:32" ht="14.5" x14ac:dyDescent="0.35">
      <c r="A7" s="18" t="s">
        <v>46</v>
      </c>
      <c r="B7" s="18" t="s">
        <v>6</v>
      </c>
      <c r="C7" s="59">
        <v>42908</v>
      </c>
      <c r="D7">
        <v>3</v>
      </c>
      <c r="E7">
        <v>1</v>
      </c>
      <c r="F7">
        <v>2</v>
      </c>
      <c r="G7">
        <v>1</v>
      </c>
      <c r="H7">
        <v>1</v>
      </c>
      <c r="I7">
        <v>2</v>
      </c>
      <c r="J7">
        <v>1</v>
      </c>
      <c r="K7">
        <v>2</v>
      </c>
      <c r="L7">
        <v>1</v>
      </c>
      <c r="M7">
        <v>1</v>
      </c>
      <c r="N7">
        <f>INDEX('Points Schedule'!$H$3:$M$3, MATCH(D7, 'Points Schedule'!$H$2:$M$2, 0))</f>
        <v>30</v>
      </c>
      <c r="O7">
        <f>INDEX('Points Schedule'!$H$4:$M$4, MATCH(E7, 'Points Schedule'!$H$2:$M$2, 0))</f>
        <v>15</v>
      </c>
      <c r="P7">
        <f>INDEX('Points Schedule'!$H$5:$M$5, MATCH(F7, 'Points Schedule'!$H$2:$M$2, 0))</f>
        <v>10</v>
      </c>
      <c r="Q7">
        <f>INDEX('Points Schedule'!$H$6:$M$6, MATCH(G7, 'Points Schedule'!$H$2:$M$2, 0))</f>
        <v>25</v>
      </c>
      <c r="R7">
        <f>INDEX('Points Schedule'!$H$7:$M$7, MATCH(I7, 'Points Schedule'!$H$2:$M$2, 0))</f>
        <v>20</v>
      </c>
      <c r="S7">
        <f>INDEX('Points Schedule'!$H$8:$M$8, MATCH(J7, 'Points Schedule'!$H$2:$M$2, 0))</f>
        <v>70</v>
      </c>
      <c r="T7">
        <f>INDEX('Points Schedule'!$H$9:$M$9, MATCH(K7, 'Points Schedule'!$H$2:$M$2, 0))</f>
        <v>40</v>
      </c>
      <c r="U7">
        <f>INDEX('Points Schedule'!$H$10:$M$10, MATCH(L7, 'Points Schedule'!$H$2:$M$2, 0))</f>
        <v>40</v>
      </c>
      <c r="V7">
        <f>INDEX('Points Schedule'!$H$11:$M$11, MATCH(M7, 'Points Schedule'!$H$2:$M$2, 0))</f>
        <v>30</v>
      </c>
      <c r="W7">
        <f t="shared" si="0"/>
        <v>280</v>
      </c>
      <c r="X7">
        <v>3</v>
      </c>
      <c r="Y7">
        <v>50.257142857142853</v>
      </c>
      <c r="Z7" s="19">
        <f>Y7*1000</f>
        <v>50257.142857142855</v>
      </c>
      <c r="AB7" s="5"/>
      <c r="AC7" s="5"/>
      <c r="AD7" s="19"/>
      <c r="AE7" s="5"/>
      <c r="AF7" s="5"/>
    </row>
    <row r="8" spans="1:32" ht="14.5" x14ac:dyDescent="0.35">
      <c r="A8" s="18" t="s">
        <v>38</v>
      </c>
      <c r="B8" s="18" t="s">
        <v>20</v>
      </c>
      <c r="C8" s="5">
        <v>46481</v>
      </c>
      <c r="D8">
        <v>3</v>
      </c>
      <c r="E8">
        <v>2</v>
      </c>
      <c r="F8">
        <v>1</v>
      </c>
      <c r="G8">
        <v>1</v>
      </c>
      <c r="H8">
        <v>1</v>
      </c>
      <c r="I8">
        <v>1</v>
      </c>
      <c r="J8">
        <v>1</v>
      </c>
      <c r="K8">
        <v>2</v>
      </c>
      <c r="L8">
        <v>1</v>
      </c>
      <c r="M8">
        <v>1</v>
      </c>
      <c r="N8">
        <f>INDEX('Points Schedule'!$H$3:$M$3, MATCH(D8, 'Points Schedule'!$H$2:$M$2, 0))</f>
        <v>30</v>
      </c>
      <c r="O8">
        <f>INDEX('Points Schedule'!$H$4:$M$4, MATCH(E8, 'Points Schedule'!$H$2:$M$2, 0))</f>
        <v>30</v>
      </c>
      <c r="P8">
        <f>INDEX('Points Schedule'!$H$5:$M$5, MATCH(F8, 'Points Schedule'!$H$2:$M$2, 0))</f>
        <v>5</v>
      </c>
      <c r="Q8">
        <f>INDEX('Points Schedule'!$H$6:$M$6, MATCH(G8, 'Points Schedule'!$H$2:$M$2, 0))</f>
        <v>25</v>
      </c>
      <c r="R8">
        <f>INDEX('Points Schedule'!$H$7:$M$7, MATCH(I8, 'Points Schedule'!$H$2:$M$2, 0))</f>
        <v>10</v>
      </c>
      <c r="S8">
        <f>INDEX('Points Schedule'!$H$8:$M$8, MATCH(J8, 'Points Schedule'!$H$2:$M$2, 0))</f>
        <v>70</v>
      </c>
      <c r="T8">
        <f>INDEX('Points Schedule'!$H$9:$M$9, MATCH(K8, 'Points Schedule'!$H$2:$M$2, 0))</f>
        <v>40</v>
      </c>
      <c r="U8">
        <f>INDEX('Points Schedule'!$H$10:$M$10, MATCH(L8, 'Points Schedule'!$H$2:$M$2, 0))</f>
        <v>40</v>
      </c>
      <c r="V8">
        <f>INDEX('Points Schedule'!$H$11:$M$11, MATCH(M8, 'Points Schedule'!$H$2:$M$2, 0))</f>
        <v>30</v>
      </c>
      <c r="W8">
        <f t="shared" si="0"/>
        <v>280</v>
      </c>
      <c r="X8" cm="1">
        <f t="array" ref="X8">INDEX(Clusters!A:A, MATCH(1, (W8&gt;=Clusters!B:B)*(W8&lt;=Clusters!C:C), 0))</f>
        <v>3</v>
      </c>
      <c r="AB8" s="5"/>
      <c r="AC8" s="5"/>
      <c r="AD8" s="19"/>
      <c r="AE8" s="5"/>
      <c r="AF8" s="5"/>
    </row>
    <row r="9" spans="1:32" ht="14.5" x14ac:dyDescent="0.35">
      <c r="A9" s="18" t="s">
        <v>10</v>
      </c>
      <c r="B9" s="18" t="s">
        <v>6</v>
      </c>
      <c r="C9" s="5">
        <v>38513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2</v>
      </c>
      <c r="L9">
        <v>1</v>
      </c>
      <c r="M9">
        <v>1</v>
      </c>
      <c r="N9">
        <f>INDEX('Points Schedule'!$H$3:$M$3, MATCH(D9, 'Points Schedule'!$H$2:$M$2, 0))</f>
        <v>30</v>
      </c>
      <c r="O9">
        <f>INDEX('Points Schedule'!$H$4:$M$4, MATCH(E9, 'Points Schedule'!$H$2:$M$2, 0))</f>
        <v>15</v>
      </c>
      <c r="P9">
        <f>INDEX('Points Schedule'!$H$5:$M$5, MATCH(F9, 'Points Schedule'!$H$2:$M$2, 0))</f>
        <v>10</v>
      </c>
      <c r="Q9">
        <f>INDEX('Points Schedule'!$H$6:$M$6, MATCH(G9, 'Points Schedule'!$H$2:$M$2, 0))</f>
        <v>25</v>
      </c>
      <c r="R9">
        <f>INDEX('Points Schedule'!$H$7:$M$7, MATCH(I9, 'Points Schedule'!$H$2:$M$2, 0))</f>
        <v>20</v>
      </c>
      <c r="S9">
        <f>INDEX('Points Schedule'!$H$8:$M$8, MATCH(J9, 'Points Schedule'!$H$2:$M$2, 0))</f>
        <v>70</v>
      </c>
      <c r="T9">
        <f>INDEX('Points Schedule'!$H$9:$M$9, MATCH(K9, 'Points Schedule'!$H$2:$M$2, 0))</f>
        <v>40</v>
      </c>
      <c r="U9">
        <f>INDEX('Points Schedule'!$H$10:$M$10, MATCH(L9, 'Points Schedule'!$H$2:$M$2, 0))</f>
        <v>40</v>
      </c>
      <c r="V9">
        <f>INDEX('Points Schedule'!$H$11:$M$11, MATCH(M9, 'Points Schedule'!$H$2:$M$2, 0))</f>
        <v>30</v>
      </c>
      <c r="W9">
        <f t="shared" si="0"/>
        <v>280</v>
      </c>
      <c r="X9" cm="1">
        <f t="array" ref="X9">INDEX(Clusters!A:A, MATCH(1, (W9&gt;=Clusters!B:B)*(W9&lt;=Clusters!C:C), 0))</f>
        <v>3</v>
      </c>
      <c r="Y9">
        <v>50.257142857142853</v>
      </c>
      <c r="Z9" s="19">
        <f>Y9*1000</f>
        <v>50257.142857142855</v>
      </c>
      <c r="AB9" s="59"/>
      <c r="AC9" s="59"/>
      <c r="AD9" s="19"/>
      <c r="AE9" s="59"/>
      <c r="AF9" s="59"/>
    </row>
    <row r="10" spans="1:32" ht="14.5" x14ac:dyDescent="0.35">
      <c r="A10" s="18" t="s">
        <v>10</v>
      </c>
      <c r="B10" s="18" t="s">
        <v>6</v>
      </c>
      <c r="C10" s="5">
        <v>37370</v>
      </c>
      <c r="D10">
        <v>3</v>
      </c>
      <c r="E10" s="3">
        <v>1</v>
      </c>
      <c r="F10">
        <v>2</v>
      </c>
      <c r="G10">
        <v>1</v>
      </c>
      <c r="H10">
        <v>1</v>
      </c>
      <c r="I10">
        <v>2</v>
      </c>
      <c r="J10">
        <v>1</v>
      </c>
      <c r="K10">
        <v>2</v>
      </c>
      <c r="L10">
        <v>1</v>
      </c>
      <c r="M10">
        <v>1</v>
      </c>
      <c r="N10">
        <f>INDEX('Points Schedule'!$H$3:$M$3, MATCH(D10, 'Points Schedule'!$H$2:$M$2, 0))</f>
        <v>30</v>
      </c>
      <c r="O10">
        <f>INDEX('Points Schedule'!$H$4:$M$4, MATCH(E10, 'Points Schedule'!$H$2:$M$2, 0))</f>
        <v>15</v>
      </c>
      <c r="P10">
        <f>INDEX('Points Schedule'!$H$5:$M$5, MATCH(F10, 'Points Schedule'!$H$2:$M$2, 0))</f>
        <v>10</v>
      </c>
      <c r="Q10">
        <f>INDEX('Points Schedule'!$H$6:$M$6, MATCH(G10, 'Points Schedule'!$H$2:$M$2, 0))</f>
        <v>25</v>
      </c>
      <c r="R10">
        <f>INDEX('Points Schedule'!$H$7:$M$7, MATCH(I10, 'Points Schedule'!$H$2:$M$2, 0))</f>
        <v>20</v>
      </c>
      <c r="S10">
        <f>INDEX('Points Schedule'!$H$8:$M$8, MATCH(J10, 'Points Schedule'!$H$2:$M$2, 0))</f>
        <v>70</v>
      </c>
      <c r="T10">
        <f>INDEX('Points Schedule'!$H$9:$M$9, MATCH(K10, 'Points Schedule'!$H$2:$M$2, 0))</f>
        <v>40</v>
      </c>
      <c r="U10">
        <f>INDEX('Points Schedule'!$H$10:$M$10, MATCH(L10, 'Points Schedule'!$H$2:$M$2, 0))</f>
        <v>40</v>
      </c>
      <c r="V10">
        <f>INDEX('Points Schedule'!$H$11:$M$11, MATCH(M10, 'Points Schedule'!$H$2:$M$2, 0))</f>
        <v>30</v>
      </c>
      <c r="W10">
        <f t="shared" si="0"/>
        <v>280</v>
      </c>
      <c r="X10" cm="1">
        <f t="array" ref="X10">INDEX(Clusters!A:A, MATCH(1, (W10&gt;=Clusters!B:B)*(W10&lt;=Clusters!C:C), 0))</f>
        <v>3</v>
      </c>
      <c r="Y10">
        <v>50.257142857142853</v>
      </c>
      <c r="Z10" s="19">
        <f>Y10*1000</f>
        <v>50257.142857142855</v>
      </c>
      <c r="AB10" s="5"/>
      <c r="AC10" s="5"/>
      <c r="AD10" s="19"/>
      <c r="AE10" s="5"/>
      <c r="AF10" s="5"/>
    </row>
    <row r="11" spans="1:32" s="24" customFormat="1" ht="14.5" x14ac:dyDescent="0.35">
      <c r="A11" s="23" t="s">
        <v>7</v>
      </c>
      <c r="B11" s="23" t="s">
        <v>6</v>
      </c>
      <c r="C11" s="60">
        <v>43898</v>
      </c>
      <c r="D11" s="24">
        <v>2</v>
      </c>
      <c r="E11" s="24">
        <v>1</v>
      </c>
      <c r="F11" s="24">
        <v>1</v>
      </c>
      <c r="G11" s="24">
        <v>1</v>
      </c>
      <c r="H11" s="24">
        <v>1</v>
      </c>
      <c r="I11" s="24">
        <v>2</v>
      </c>
      <c r="J11" s="24">
        <v>1</v>
      </c>
      <c r="K11" s="24">
        <v>3</v>
      </c>
      <c r="L11" s="24">
        <v>1</v>
      </c>
      <c r="M11" s="24">
        <v>1</v>
      </c>
      <c r="N11" s="24">
        <f>INDEX('Points Schedule'!$H$3:$M$3, MATCH(D11, 'Points Schedule'!$H$2:$M$2, 0))</f>
        <v>20</v>
      </c>
      <c r="O11" s="24">
        <f>INDEX('Points Schedule'!$H$4:$M$4, MATCH(E11, 'Points Schedule'!$H$2:$M$2, 0))</f>
        <v>15</v>
      </c>
      <c r="P11" s="24">
        <f>INDEX('Points Schedule'!$H$5:$M$5, MATCH(F11, 'Points Schedule'!$H$2:$M$2, 0))</f>
        <v>5</v>
      </c>
      <c r="Q11" s="24">
        <f>INDEX('Points Schedule'!$H$6:$M$6, MATCH(G11, 'Points Schedule'!$H$2:$M$2, 0))</f>
        <v>25</v>
      </c>
      <c r="R11" s="24">
        <f>INDEX('Points Schedule'!$H$7:$M$7, MATCH(I11, 'Points Schedule'!$H$2:$M$2, 0))</f>
        <v>20</v>
      </c>
      <c r="S11" s="24">
        <f>INDEX('Points Schedule'!$H$8:$M$8, MATCH(J11, 'Points Schedule'!$H$2:$M$2, 0))</f>
        <v>70</v>
      </c>
      <c r="T11" s="24">
        <f>INDEX('Points Schedule'!$H$9:$M$9, MATCH(K11, 'Points Schedule'!$H$2:$M$2, 0))</f>
        <v>60</v>
      </c>
      <c r="U11" s="24">
        <f>INDEX('Points Schedule'!$H$10:$M$10, MATCH(L11, 'Points Schedule'!$H$2:$M$2, 0))</f>
        <v>40</v>
      </c>
      <c r="V11" s="24">
        <f>INDEX('Points Schedule'!$H$11:$M$11, MATCH(M11, 'Points Schedule'!$H$2:$M$2, 0))</f>
        <v>30</v>
      </c>
      <c r="W11" s="24">
        <f t="shared" si="0"/>
        <v>285</v>
      </c>
      <c r="X11" s="24" cm="1">
        <f t="array" ref="X11">INDEX(Clusters!A:A, MATCH(1, (W11&gt;=Clusters!B:B)*(W11&lt;=Clusters!C:C), 0))</f>
        <v>3</v>
      </c>
      <c r="Y11" s="24">
        <v>47.838275862068969</v>
      </c>
      <c r="Z11" s="25">
        <f>Y11*1000</f>
        <v>47838.275862068971</v>
      </c>
      <c r="AB11" s="26"/>
      <c r="AC11" s="26"/>
      <c r="AD11" s="25"/>
      <c r="AE11" s="26"/>
      <c r="AF11" s="26"/>
    </row>
    <row r="12" spans="1:32" ht="14.5" x14ac:dyDescent="0.35">
      <c r="A12" s="18" t="s">
        <v>51</v>
      </c>
      <c r="B12" s="18" t="s">
        <v>13</v>
      </c>
      <c r="C12" s="5">
        <v>41500</v>
      </c>
      <c r="D12">
        <v>3</v>
      </c>
      <c r="E12" s="3">
        <v>1</v>
      </c>
      <c r="F12">
        <v>1</v>
      </c>
      <c r="G12">
        <v>2</v>
      </c>
      <c r="H12">
        <v>1</v>
      </c>
      <c r="I12">
        <v>1</v>
      </c>
      <c r="J12">
        <v>1</v>
      </c>
      <c r="K12">
        <v>2</v>
      </c>
      <c r="L12">
        <v>1</v>
      </c>
      <c r="M12">
        <v>1</v>
      </c>
      <c r="N12">
        <f>INDEX('Points Schedule'!$H$3:$M$3, MATCH(D12, 'Points Schedule'!$H$2:$M$2, 0))</f>
        <v>30</v>
      </c>
      <c r="O12">
        <f>INDEX('Points Schedule'!$H$4:$M$4, MATCH(E12, 'Points Schedule'!$H$2:$M$2, 0))</f>
        <v>15</v>
      </c>
      <c r="P12">
        <f>INDEX('Points Schedule'!$H$5:$M$5, MATCH(F12, 'Points Schedule'!$H$2:$M$2, 0))</f>
        <v>5</v>
      </c>
      <c r="Q12">
        <f>INDEX('Points Schedule'!$H$6:$M$6, MATCH(G12, 'Points Schedule'!$H$2:$M$2, 0))</f>
        <v>50</v>
      </c>
      <c r="R12">
        <f>INDEX('Points Schedule'!$H$7:$M$7, MATCH(I12, 'Points Schedule'!$H$2:$M$2, 0))</f>
        <v>10</v>
      </c>
      <c r="S12">
        <f>INDEX('Points Schedule'!$H$8:$M$8, MATCH(J12, 'Points Schedule'!$H$2:$M$2, 0))</f>
        <v>70</v>
      </c>
      <c r="T12">
        <f>INDEX('Points Schedule'!$H$9:$M$9, MATCH(K12, 'Points Schedule'!$H$2:$M$2, 0))</f>
        <v>40</v>
      </c>
      <c r="U12">
        <f>INDEX('Points Schedule'!$H$10:$M$10, MATCH(L12, 'Points Schedule'!$H$2:$M$2, 0))</f>
        <v>40</v>
      </c>
      <c r="V12">
        <f>INDEX('Points Schedule'!$H$11:$M$11, MATCH(M12, 'Points Schedule'!$H$2:$M$2, 0))</f>
        <v>30</v>
      </c>
      <c r="W12">
        <f t="shared" si="0"/>
        <v>290</v>
      </c>
      <c r="X12" cm="1">
        <f t="array" ref="X12">INDEX(Clusters!A:A, MATCH(1, (W12&gt;=Clusters!B:B)*(W12&lt;=Clusters!C:C), 0))</f>
        <v>4</v>
      </c>
      <c r="AB12" s="59"/>
      <c r="AC12" s="59"/>
      <c r="AD12" s="19"/>
      <c r="AE12" s="59"/>
      <c r="AF12" s="59"/>
    </row>
    <row r="13" spans="1:32" ht="14.5" x14ac:dyDescent="0.35">
      <c r="A13" s="18" t="s">
        <v>48</v>
      </c>
      <c r="B13" s="18" t="s">
        <v>12</v>
      </c>
      <c r="C13" s="5">
        <v>37258</v>
      </c>
      <c r="D13">
        <v>1</v>
      </c>
      <c r="E13" s="3">
        <v>1</v>
      </c>
      <c r="F13">
        <v>2</v>
      </c>
      <c r="G13">
        <v>1</v>
      </c>
      <c r="H13">
        <v>1</v>
      </c>
      <c r="I13">
        <v>1</v>
      </c>
      <c r="J13">
        <v>1</v>
      </c>
      <c r="K13">
        <v>2</v>
      </c>
      <c r="L13">
        <v>2</v>
      </c>
      <c r="M13">
        <v>1</v>
      </c>
      <c r="N13">
        <f>INDEX('Points Schedule'!$H$3:$M$3, MATCH(D13, 'Points Schedule'!$H$2:$M$2, 0))</f>
        <v>10</v>
      </c>
      <c r="O13">
        <f>INDEX('Points Schedule'!$H$4:$M$4, MATCH(E13, 'Points Schedule'!$H$2:$M$2, 0))</f>
        <v>15</v>
      </c>
      <c r="P13">
        <f>INDEX('Points Schedule'!$H$5:$M$5, MATCH(F13, 'Points Schedule'!$H$2:$M$2, 0))</f>
        <v>10</v>
      </c>
      <c r="Q13">
        <f>INDEX('Points Schedule'!$H$6:$M$6, MATCH(G13, 'Points Schedule'!$H$2:$M$2, 0))</f>
        <v>25</v>
      </c>
      <c r="R13">
        <f>INDEX('Points Schedule'!$H$7:$M$7, MATCH(I13, 'Points Schedule'!$H$2:$M$2, 0))</f>
        <v>10</v>
      </c>
      <c r="S13">
        <f>INDEX('Points Schedule'!$H$8:$M$8, MATCH(J13, 'Points Schedule'!$H$2:$M$2, 0))</f>
        <v>70</v>
      </c>
      <c r="T13">
        <f>INDEX('Points Schedule'!$H$9:$M$9, MATCH(K13, 'Points Schedule'!$H$2:$M$2, 0))</f>
        <v>40</v>
      </c>
      <c r="U13">
        <f>INDEX('Points Schedule'!$H$10:$M$10, MATCH(L13, 'Points Schedule'!$H$2:$M$2, 0))</f>
        <v>80</v>
      </c>
      <c r="V13">
        <f>INDEX('Points Schedule'!$H$11:$M$11, MATCH(M13, 'Points Schedule'!$H$2:$M$2, 0))</f>
        <v>30</v>
      </c>
      <c r="W13">
        <f t="shared" si="0"/>
        <v>290</v>
      </c>
      <c r="X13" cm="1">
        <f t="array" ref="X13">INDEX(Clusters!A:A, MATCH(1, (W13&gt;=Clusters!B:B)*(W13&lt;=Clusters!C:C), 0))</f>
        <v>4</v>
      </c>
      <c r="Y13">
        <v>55.492469879518076</v>
      </c>
      <c r="Z13" s="19">
        <f>Y13*1000</f>
        <v>55492.469879518074</v>
      </c>
      <c r="AB13" s="5"/>
      <c r="AC13" s="5"/>
      <c r="AD13" s="19"/>
      <c r="AE13" s="5"/>
      <c r="AF13" s="5"/>
    </row>
    <row r="14" spans="1:32" ht="14.5" x14ac:dyDescent="0.35">
      <c r="A14" s="18" t="s">
        <v>34</v>
      </c>
      <c r="B14" s="18" t="s">
        <v>20</v>
      </c>
      <c r="C14" s="5">
        <v>32810</v>
      </c>
      <c r="D14">
        <v>2</v>
      </c>
      <c r="E14">
        <v>1</v>
      </c>
      <c r="F14">
        <v>1</v>
      </c>
      <c r="G14">
        <v>1</v>
      </c>
      <c r="H14">
        <v>1</v>
      </c>
      <c r="I14">
        <v>2</v>
      </c>
      <c r="J14">
        <v>1</v>
      </c>
      <c r="K14">
        <v>2</v>
      </c>
      <c r="L14">
        <v>1</v>
      </c>
      <c r="M14">
        <v>2</v>
      </c>
      <c r="N14">
        <f>INDEX('Points Schedule'!$H$3:$M$3, MATCH(D14, 'Points Schedule'!$H$2:$M$2, 0))</f>
        <v>20</v>
      </c>
      <c r="O14">
        <f>INDEX('Points Schedule'!$H$4:$M$4, MATCH(E14, 'Points Schedule'!$H$2:$M$2, 0))</f>
        <v>15</v>
      </c>
      <c r="P14">
        <f>INDEX('Points Schedule'!$H$5:$M$5, MATCH(F14, 'Points Schedule'!$H$2:$M$2, 0))</f>
        <v>5</v>
      </c>
      <c r="Q14">
        <f>INDEX('Points Schedule'!$H$6:$M$6, MATCH(G14, 'Points Schedule'!$H$2:$M$2, 0))</f>
        <v>25</v>
      </c>
      <c r="R14">
        <f>INDEX('Points Schedule'!$H$7:$M$7, MATCH(I14, 'Points Schedule'!$H$2:$M$2, 0))</f>
        <v>20</v>
      </c>
      <c r="S14">
        <f>INDEX('Points Schedule'!$H$8:$M$8, MATCH(J14, 'Points Schedule'!$H$2:$M$2, 0))</f>
        <v>70</v>
      </c>
      <c r="T14">
        <f>INDEX('Points Schedule'!$H$9:$M$9, MATCH(K14, 'Points Schedule'!$H$2:$M$2, 0))</f>
        <v>40</v>
      </c>
      <c r="U14">
        <f>INDEX('Points Schedule'!$H$10:$M$10, MATCH(L14, 'Points Schedule'!$H$2:$M$2, 0))</f>
        <v>40</v>
      </c>
      <c r="V14">
        <f>INDEX('Points Schedule'!$H$11:$M$11, MATCH(M14, 'Points Schedule'!$H$2:$M$2, 0))</f>
        <v>60</v>
      </c>
      <c r="W14">
        <f t="shared" si="0"/>
        <v>295</v>
      </c>
      <c r="X14" cm="1">
        <f t="array" ref="X14">INDEX(Clusters!A:A, MATCH(1, (W14&gt;=Clusters!B:B)*(W14&lt;=Clusters!C:C), 0))</f>
        <v>4</v>
      </c>
      <c r="Y14">
        <v>44.119736842105254</v>
      </c>
      <c r="Z14" s="19">
        <f>Y14*1000</f>
        <v>44119.736842105252</v>
      </c>
      <c r="AB14" s="5"/>
      <c r="AC14" s="5"/>
      <c r="AD14" s="19"/>
      <c r="AE14" s="5"/>
      <c r="AF14" s="5"/>
    </row>
    <row r="15" spans="1:32" ht="14.5" x14ac:dyDescent="0.35">
      <c r="A15" s="18" t="s">
        <v>43</v>
      </c>
      <c r="B15" s="18" t="s">
        <v>20</v>
      </c>
      <c r="C15" s="5">
        <v>58000</v>
      </c>
      <c r="D15">
        <v>3</v>
      </c>
      <c r="E15">
        <v>2</v>
      </c>
      <c r="F15">
        <v>2</v>
      </c>
      <c r="G15">
        <v>1</v>
      </c>
      <c r="H15">
        <v>1</v>
      </c>
      <c r="I15">
        <v>2</v>
      </c>
      <c r="J15">
        <v>1</v>
      </c>
      <c r="K15">
        <v>2</v>
      </c>
      <c r="L15">
        <v>1</v>
      </c>
      <c r="M15">
        <v>1</v>
      </c>
      <c r="N15">
        <f>INDEX('Points Schedule'!$H$3:$M$3, MATCH(D15, 'Points Schedule'!$H$2:$M$2, 0))</f>
        <v>30</v>
      </c>
      <c r="O15">
        <f>INDEX('Points Schedule'!$H$4:$M$4, MATCH(E15, 'Points Schedule'!$H$2:$M$2, 0))</f>
        <v>30</v>
      </c>
      <c r="P15">
        <f>INDEX('Points Schedule'!$H$5:$M$5, MATCH(F15, 'Points Schedule'!$H$2:$M$2, 0))</f>
        <v>10</v>
      </c>
      <c r="Q15">
        <f>INDEX('Points Schedule'!$H$6:$M$6, MATCH(G15, 'Points Schedule'!$H$2:$M$2, 0))</f>
        <v>25</v>
      </c>
      <c r="R15">
        <f>INDEX('Points Schedule'!$H$7:$M$7, MATCH(I15, 'Points Schedule'!$H$2:$M$2, 0))</f>
        <v>20</v>
      </c>
      <c r="S15">
        <f>INDEX('Points Schedule'!$H$8:$M$8, MATCH(J15, 'Points Schedule'!$H$2:$M$2, 0))</f>
        <v>70</v>
      </c>
      <c r="T15">
        <f>INDEX('Points Schedule'!$H$9:$M$9, MATCH(K15, 'Points Schedule'!$H$2:$M$2, 0))</f>
        <v>40</v>
      </c>
      <c r="U15">
        <f>INDEX('Points Schedule'!$H$10:$M$10, MATCH(L15, 'Points Schedule'!$H$2:$M$2, 0))</f>
        <v>40</v>
      </c>
      <c r="V15">
        <f>INDEX('Points Schedule'!$H$11:$M$11, MATCH(M15, 'Points Schedule'!$H$2:$M$2, 0))</f>
        <v>30</v>
      </c>
      <c r="W15">
        <f t="shared" si="0"/>
        <v>295</v>
      </c>
      <c r="X15" cm="1">
        <f t="array" ref="X15">INDEX(Clusters!A:A, MATCH(1, (W15&gt;=Clusters!B:B)*(W15&lt;=Clusters!C:C), 0))</f>
        <v>4</v>
      </c>
      <c r="AB15" s="5"/>
      <c r="AC15" s="5"/>
      <c r="AD15" s="19"/>
      <c r="AE15" s="5"/>
      <c r="AF15" s="5"/>
    </row>
    <row r="16" spans="1:32" ht="14.5" x14ac:dyDescent="0.35">
      <c r="A16" s="18" t="s">
        <v>35</v>
      </c>
      <c r="B16" s="18" t="s">
        <v>20</v>
      </c>
      <c r="C16" s="5">
        <v>40429</v>
      </c>
      <c r="D16">
        <v>1</v>
      </c>
      <c r="E16">
        <v>1</v>
      </c>
      <c r="F16">
        <v>2</v>
      </c>
      <c r="G16">
        <v>1</v>
      </c>
      <c r="H16">
        <v>1</v>
      </c>
      <c r="I16">
        <v>1</v>
      </c>
      <c r="J16">
        <v>1</v>
      </c>
      <c r="K16">
        <v>1</v>
      </c>
      <c r="L16">
        <v>3</v>
      </c>
      <c r="M16">
        <v>1</v>
      </c>
      <c r="N16">
        <f>INDEX('Points Schedule'!$H$3:$M$3, MATCH(D16, 'Points Schedule'!$H$2:$M$2, 0))</f>
        <v>10</v>
      </c>
      <c r="O16">
        <f>INDEX('Points Schedule'!$H$4:$M$4, MATCH(E16, 'Points Schedule'!$H$2:$M$2, 0))</f>
        <v>15</v>
      </c>
      <c r="P16">
        <f>INDEX('Points Schedule'!$H$5:$M$5, MATCH(F16, 'Points Schedule'!$H$2:$M$2, 0))</f>
        <v>10</v>
      </c>
      <c r="Q16">
        <f>INDEX('Points Schedule'!$H$6:$M$6, MATCH(G16, 'Points Schedule'!$H$2:$M$2, 0))</f>
        <v>25</v>
      </c>
      <c r="R16">
        <f>INDEX('Points Schedule'!$H$7:$M$7, MATCH(I16, 'Points Schedule'!$H$2:$M$2, 0))</f>
        <v>10</v>
      </c>
      <c r="S16">
        <f>INDEX('Points Schedule'!$H$8:$M$8, MATCH(J16, 'Points Schedule'!$H$2:$M$2, 0))</f>
        <v>70</v>
      </c>
      <c r="T16">
        <f>INDEX('Points Schedule'!$H$9:$M$9, MATCH(K16, 'Points Schedule'!$H$2:$M$2, 0))</f>
        <v>20</v>
      </c>
      <c r="U16">
        <f>INDEX('Points Schedule'!$H$10:$M$10, MATCH(L16, 'Points Schedule'!$H$2:$M$2, 0))</f>
        <v>120</v>
      </c>
      <c r="V16">
        <f>INDEX('Points Schedule'!$H$11:$M$11, MATCH(M16, 'Points Schedule'!$H$2:$M$2, 0))</f>
        <v>30</v>
      </c>
      <c r="W16">
        <f t="shared" si="0"/>
        <v>310</v>
      </c>
      <c r="X16" cm="1">
        <f t="array" ref="X16">INDEX(Clusters!A:A, MATCH(1, (W16&gt;=Clusters!B:B)*(W16&lt;=Clusters!C:C), 0))</f>
        <v>4</v>
      </c>
      <c r="Y16">
        <v>39.200925925925922</v>
      </c>
      <c r="Z16" s="19">
        <f>Y16*1000</f>
        <v>39200.92592592592</v>
      </c>
      <c r="AB16" s="5"/>
      <c r="AC16" s="5"/>
      <c r="AD16" s="19"/>
      <c r="AE16" s="5"/>
      <c r="AF16" s="5"/>
    </row>
    <row r="17" spans="1:33" s="17" customFormat="1" ht="14.5" x14ac:dyDescent="0.35">
      <c r="A17" s="18" t="s">
        <v>36</v>
      </c>
      <c r="B17" s="18" t="s">
        <v>20</v>
      </c>
      <c r="C17" s="5">
        <v>41530</v>
      </c>
      <c r="D17">
        <v>3</v>
      </c>
      <c r="E17">
        <v>2</v>
      </c>
      <c r="F17">
        <v>2</v>
      </c>
      <c r="G17">
        <v>2</v>
      </c>
      <c r="H17">
        <v>1</v>
      </c>
      <c r="I17">
        <v>2</v>
      </c>
      <c r="J17">
        <v>1</v>
      </c>
      <c r="K17">
        <v>1</v>
      </c>
      <c r="L17">
        <v>1</v>
      </c>
      <c r="M17">
        <v>2</v>
      </c>
      <c r="N17">
        <f>INDEX('Points Schedule'!$H$3:$M$3, MATCH(D17, 'Points Schedule'!$H$2:$M$2, 0))</f>
        <v>30</v>
      </c>
      <c r="O17">
        <f>INDEX('Points Schedule'!$H$4:$M$4, MATCH(E17, 'Points Schedule'!$H$2:$M$2, 0))</f>
        <v>30</v>
      </c>
      <c r="P17">
        <f>INDEX('Points Schedule'!$H$5:$M$5, MATCH(F17, 'Points Schedule'!$H$2:$M$2, 0))</f>
        <v>10</v>
      </c>
      <c r="Q17">
        <f>INDEX('Points Schedule'!$H$6:$M$6, MATCH(G17, 'Points Schedule'!$H$2:$M$2, 0))</f>
        <v>50</v>
      </c>
      <c r="R17">
        <f>INDEX('Points Schedule'!$H$7:$M$7, MATCH(I17, 'Points Schedule'!$H$2:$M$2, 0))</f>
        <v>20</v>
      </c>
      <c r="S17">
        <f>INDEX('Points Schedule'!$H$8:$M$8, MATCH(J17, 'Points Schedule'!$H$2:$M$2, 0))</f>
        <v>70</v>
      </c>
      <c r="T17">
        <f>INDEX('Points Schedule'!$H$9:$M$9, MATCH(K17, 'Points Schedule'!$H$2:$M$2, 0))</f>
        <v>20</v>
      </c>
      <c r="U17">
        <f>INDEX('Points Schedule'!$H$10:$M$10, MATCH(L17, 'Points Schedule'!$H$2:$M$2, 0))</f>
        <v>40</v>
      </c>
      <c r="V17">
        <f>INDEX('Points Schedule'!$H$11:$M$11, MATCH(M17, 'Points Schedule'!$H$2:$M$2, 0))</f>
        <v>60</v>
      </c>
      <c r="W17">
        <f t="shared" si="0"/>
        <v>330</v>
      </c>
      <c r="X17" cm="1">
        <f t="array" ref="X17">INDEX(Clusters!A:A, MATCH(1, (W17&gt;=Clusters!B:B)*(W17&lt;=Clusters!C:C), 0))</f>
        <v>5</v>
      </c>
      <c r="Y17">
        <v>53.229842931937171</v>
      </c>
      <c r="Z17" s="19">
        <f>Y17*1000</f>
        <v>53229.842931937172</v>
      </c>
      <c r="AA17"/>
      <c r="AB17" s="5"/>
      <c r="AC17" s="5"/>
      <c r="AD17" s="19"/>
      <c r="AE17" s="5"/>
      <c r="AF17" s="5"/>
      <c r="AG17"/>
    </row>
    <row r="18" spans="1:33" s="21" customFormat="1" ht="14.5" x14ac:dyDescent="0.35">
      <c r="A18" s="18" t="s">
        <v>53</v>
      </c>
      <c r="B18" s="18" t="s">
        <v>13</v>
      </c>
      <c r="C18" s="5">
        <v>77289</v>
      </c>
      <c r="D18">
        <v>3</v>
      </c>
      <c r="E18" s="3">
        <v>2</v>
      </c>
      <c r="F18">
        <v>1</v>
      </c>
      <c r="G18">
        <v>2</v>
      </c>
      <c r="H18">
        <v>1</v>
      </c>
      <c r="I18">
        <v>1</v>
      </c>
      <c r="J18">
        <v>1</v>
      </c>
      <c r="K18">
        <v>2</v>
      </c>
      <c r="L18">
        <v>1</v>
      </c>
      <c r="M18">
        <v>2</v>
      </c>
      <c r="N18">
        <f>INDEX('Points Schedule'!$H$3:$M$3, MATCH(D18, 'Points Schedule'!$H$2:$M$2, 0))</f>
        <v>30</v>
      </c>
      <c r="O18">
        <f>INDEX('Points Schedule'!$H$4:$M$4, MATCH(E18, 'Points Schedule'!$H$2:$M$2, 0))</f>
        <v>30</v>
      </c>
      <c r="P18">
        <f>INDEX('Points Schedule'!$H$5:$M$5, MATCH(F18, 'Points Schedule'!$H$2:$M$2, 0))</f>
        <v>5</v>
      </c>
      <c r="Q18">
        <f>INDEX('Points Schedule'!$H$6:$M$6, MATCH(G18, 'Points Schedule'!$H$2:$M$2, 0))</f>
        <v>50</v>
      </c>
      <c r="R18">
        <f>INDEX('Points Schedule'!$H$7:$M$7, MATCH(I18, 'Points Schedule'!$H$2:$M$2, 0))</f>
        <v>10</v>
      </c>
      <c r="S18">
        <f>INDEX('Points Schedule'!$H$8:$M$8, MATCH(J18, 'Points Schedule'!$H$2:$M$2, 0))</f>
        <v>70</v>
      </c>
      <c r="T18">
        <f>INDEX('Points Schedule'!$H$9:$M$9, MATCH(K18, 'Points Schedule'!$H$2:$M$2, 0))</f>
        <v>40</v>
      </c>
      <c r="U18">
        <f>INDEX('Points Schedule'!$H$10:$M$10, MATCH(L18, 'Points Schedule'!$H$2:$M$2, 0))</f>
        <v>40</v>
      </c>
      <c r="V18">
        <f>INDEX('Points Schedule'!$H$11:$M$11, MATCH(M18, 'Points Schedule'!$H$2:$M$2, 0))</f>
        <v>60</v>
      </c>
      <c r="W18">
        <f t="shared" si="0"/>
        <v>335</v>
      </c>
      <c r="X18" cm="1">
        <f t="array" ref="X18">INDEX(Clusters!A:A, MATCH(1, (W18&gt;=Clusters!B:B)*(W18&lt;=Clusters!C:C), 0))</f>
        <v>5</v>
      </c>
      <c r="Y18"/>
      <c r="Z18"/>
      <c r="AA18"/>
      <c r="AB18" s="5"/>
      <c r="AC18" s="5"/>
      <c r="AD18" s="19"/>
      <c r="AE18" s="5"/>
      <c r="AF18" s="5"/>
      <c r="AG18"/>
    </row>
    <row r="19" spans="1:33" ht="14.5" x14ac:dyDescent="0.35">
      <c r="A19" s="18" t="s">
        <v>42</v>
      </c>
      <c r="B19" s="18" t="s">
        <v>20</v>
      </c>
      <c r="C19" s="5">
        <v>68700</v>
      </c>
      <c r="D19">
        <v>3</v>
      </c>
      <c r="E19">
        <v>3</v>
      </c>
      <c r="F19">
        <v>2</v>
      </c>
      <c r="G19">
        <v>1</v>
      </c>
      <c r="H19">
        <v>1</v>
      </c>
      <c r="I19">
        <v>1</v>
      </c>
      <c r="J19">
        <v>1</v>
      </c>
      <c r="K19">
        <v>4</v>
      </c>
      <c r="L19">
        <v>1</v>
      </c>
      <c r="M19">
        <v>1</v>
      </c>
      <c r="N19">
        <f>INDEX('Points Schedule'!$H$3:$M$3, MATCH(D19, 'Points Schedule'!$H$2:$M$2, 0))</f>
        <v>30</v>
      </c>
      <c r="O19">
        <f>INDEX('Points Schedule'!$H$4:$M$4, MATCH(E19, 'Points Schedule'!$H$2:$M$2, 0))</f>
        <v>45</v>
      </c>
      <c r="P19">
        <f>INDEX('Points Schedule'!$H$5:$M$5, MATCH(F19, 'Points Schedule'!$H$2:$M$2, 0))</f>
        <v>10</v>
      </c>
      <c r="Q19">
        <f>INDEX('Points Schedule'!$H$6:$M$6, MATCH(G19, 'Points Schedule'!$H$2:$M$2, 0))</f>
        <v>25</v>
      </c>
      <c r="R19">
        <f>INDEX('Points Schedule'!$H$7:$M$7, MATCH(I19, 'Points Schedule'!$H$2:$M$2, 0))</f>
        <v>10</v>
      </c>
      <c r="S19">
        <f>INDEX('Points Schedule'!$H$8:$M$8, MATCH(J19, 'Points Schedule'!$H$2:$M$2, 0))</f>
        <v>70</v>
      </c>
      <c r="T19">
        <f>INDEX('Points Schedule'!$H$9:$M$9, MATCH(K19, 'Points Schedule'!$H$2:$M$2, 0))</f>
        <v>80</v>
      </c>
      <c r="U19">
        <f>INDEX('Points Schedule'!$H$10:$M$10, MATCH(L19, 'Points Schedule'!$H$2:$M$2, 0))</f>
        <v>40</v>
      </c>
      <c r="V19">
        <f>INDEX('Points Schedule'!$H$11:$M$11, MATCH(M19, 'Points Schedule'!$H$2:$M$2, 0))</f>
        <v>30</v>
      </c>
      <c r="W19">
        <f t="shared" si="0"/>
        <v>340</v>
      </c>
      <c r="X19" cm="1">
        <f t="array" ref="X19">INDEX(Clusters!A:A, MATCH(1, (W19&gt;=Clusters!B:B)*(W19&lt;=Clusters!C:C), 0))</f>
        <v>5</v>
      </c>
      <c r="AB19" s="5"/>
      <c r="AC19" s="5"/>
      <c r="AD19" s="19"/>
      <c r="AE19" s="5"/>
      <c r="AF19" s="5"/>
    </row>
    <row r="20" spans="1:33" ht="14.5" x14ac:dyDescent="0.35">
      <c r="A20" s="18" t="s">
        <v>11</v>
      </c>
      <c r="B20" s="18" t="s">
        <v>6</v>
      </c>
      <c r="C20" s="5">
        <v>39104</v>
      </c>
      <c r="D20">
        <v>3</v>
      </c>
      <c r="E20" s="3">
        <v>3</v>
      </c>
      <c r="F20">
        <v>1</v>
      </c>
      <c r="G20">
        <v>1</v>
      </c>
      <c r="H20">
        <v>1</v>
      </c>
      <c r="I20">
        <v>1</v>
      </c>
      <c r="J20">
        <v>1</v>
      </c>
      <c r="K20">
        <v>3</v>
      </c>
      <c r="L20">
        <v>1</v>
      </c>
      <c r="M20">
        <v>2</v>
      </c>
      <c r="N20">
        <f>INDEX('Points Schedule'!$H$3:$M$3, MATCH(D20, 'Points Schedule'!$H$2:$M$2, 0))</f>
        <v>30</v>
      </c>
      <c r="O20">
        <f>INDEX('Points Schedule'!$H$4:$M$4, MATCH(E20, 'Points Schedule'!$H$2:$M$2, 0))</f>
        <v>45</v>
      </c>
      <c r="P20">
        <f>INDEX('Points Schedule'!$H$5:$M$5, MATCH(F20, 'Points Schedule'!$H$2:$M$2, 0))</f>
        <v>5</v>
      </c>
      <c r="Q20">
        <f>INDEX('Points Schedule'!$H$6:$M$6, MATCH(G20, 'Points Schedule'!$H$2:$M$2, 0))</f>
        <v>25</v>
      </c>
      <c r="R20">
        <f>INDEX('Points Schedule'!$H$7:$M$7, MATCH(I20, 'Points Schedule'!$H$2:$M$2, 0))</f>
        <v>10</v>
      </c>
      <c r="S20">
        <f>INDEX('Points Schedule'!$H$8:$M$8, MATCH(J20, 'Points Schedule'!$H$2:$M$2, 0))</f>
        <v>70</v>
      </c>
      <c r="T20">
        <f>INDEX('Points Schedule'!$H$9:$M$9, MATCH(K20, 'Points Schedule'!$H$2:$M$2, 0))</f>
        <v>60</v>
      </c>
      <c r="U20">
        <f>INDEX('Points Schedule'!$H$10:$M$10, MATCH(L20, 'Points Schedule'!$H$2:$M$2, 0))</f>
        <v>40</v>
      </c>
      <c r="V20">
        <f>INDEX('Points Schedule'!$H$11:$M$11, MATCH(M20, 'Points Schedule'!$H$2:$M$2, 0))</f>
        <v>60</v>
      </c>
      <c r="W20">
        <f t="shared" si="0"/>
        <v>345</v>
      </c>
      <c r="X20" cm="1">
        <f t="array" ref="X20">INDEX(Clusters!A:A, MATCH(1, (W20&gt;=Clusters!B:B)*(W20&lt;=Clusters!C:C), 0))</f>
        <v>5</v>
      </c>
      <c r="AB20" s="5"/>
      <c r="AC20" s="5"/>
      <c r="AD20" s="19"/>
      <c r="AE20" s="5"/>
      <c r="AF20" s="5"/>
    </row>
    <row r="21" spans="1:33" s="20" customFormat="1" ht="14.5" x14ac:dyDescent="0.35">
      <c r="A21" s="18" t="s">
        <v>21</v>
      </c>
      <c r="B21" s="18" t="s">
        <v>20</v>
      </c>
      <c r="C21" s="5">
        <v>49508</v>
      </c>
      <c r="D21">
        <v>2</v>
      </c>
      <c r="E21">
        <v>3</v>
      </c>
      <c r="F21">
        <v>2</v>
      </c>
      <c r="G21">
        <v>1</v>
      </c>
      <c r="H21">
        <v>1</v>
      </c>
      <c r="I21">
        <v>1</v>
      </c>
      <c r="J21">
        <v>1</v>
      </c>
      <c r="K21">
        <v>2</v>
      </c>
      <c r="L21">
        <v>1</v>
      </c>
      <c r="M21">
        <v>3</v>
      </c>
      <c r="N21">
        <f>INDEX('Points Schedule'!$H$3:$M$3, MATCH(D21, 'Points Schedule'!$H$2:$M$2, 0))</f>
        <v>20</v>
      </c>
      <c r="O21">
        <f>INDEX('Points Schedule'!$H$4:$M$4, MATCH(E21, 'Points Schedule'!$H$2:$M$2, 0))</f>
        <v>45</v>
      </c>
      <c r="P21">
        <f>INDEX('Points Schedule'!$H$5:$M$5, MATCH(F21, 'Points Schedule'!$H$2:$M$2, 0))</f>
        <v>10</v>
      </c>
      <c r="Q21">
        <f>INDEX('Points Schedule'!$H$6:$M$6, MATCH(G21, 'Points Schedule'!$H$2:$M$2, 0))</f>
        <v>25</v>
      </c>
      <c r="R21">
        <f>INDEX('Points Schedule'!$H$7:$M$7, MATCH(I21, 'Points Schedule'!$H$2:$M$2, 0))</f>
        <v>10</v>
      </c>
      <c r="S21">
        <f>INDEX('Points Schedule'!$H$8:$M$8, MATCH(J21, 'Points Schedule'!$H$2:$M$2, 0))</f>
        <v>70</v>
      </c>
      <c r="T21">
        <f>INDEX('Points Schedule'!$H$9:$M$9, MATCH(K21, 'Points Schedule'!$H$2:$M$2, 0))</f>
        <v>40</v>
      </c>
      <c r="U21">
        <f>INDEX('Points Schedule'!$H$10:$M$10, MATCH(L21, 'Points Schedule'!$H$2:$M$2, 0))</f>
        <v>40</v>
      </c>
      <c r="V21">
        <f>INDEX('Points Schedule'!$H$11:$M$11, MATCH(M21, 'Points Schedule'!$H$2:$M$2, 0))</f>
        <v>90</v>
      </c>
      <c r="W21">
        <f t="shared" si="0"/>
        <v>350</v>
      </c>
      <c r="X21" cm="1">
        <f t="array" ref="X21">INDEX(Clusters!A:A, MATCH(1, (W21&gt;=Clusters!B:B)*(W21&lt;=Clusters!C:C), 0))</f>
        <v>5</v>
      </c>
      <c r="Y21">
        <v>47.838275862068969</v>
      </c>
      <c r="Z21" s="19">
        <f>Y21*1000</f>
        <v>47838.275862068971</v>
      </c>
      <c r="AA21"/>
      <c r="AB21" s="5"/>
      <c r="AC21" s="5"/>
      <c r="AD21" s="19"/>
      <c r="AE21" s="5"/>
      <c r="AF21" s="5"/>
      <c r="AG21"/>
    </row>
    <row r="22" spans="1:33" ht="14.5" x14ac:dyDescent="0.35">
      <c r="A22" s="18" t="s">
        <v>40</v>
      </c>
      <c r="B22" s="18" t="s">
        <v>20</v>
      </c>
      <c r="C22" s="5">
        <v>63348</v>
      </c>
      <c r="D22">
        <v>3</v>
      </c>
      <c r="E22">
        <v>2</v>
      </c>
      <c r="F22">
        <v>2</v>
      </c>
      <c r="G22">
        <v>2</v>
      </c>
      <c r="H22">
        <v>1</v>
      </c>
      <c r="I22">
        <v>1</v>
      </c>
      <c r="J22">
        <v>1</v>
      </c>
      <c r="K22">
        <v>1</v>
      </c>
      <c r="L22">
        <v>1</v>
      </c>
      <c r="M22">
        <v>3</v>
      </c>
      <c r="N22">
        <f>INDEX('Points Schedule'!$H$3:$M$3, MATCH(D22, 'Points Schedule'!$H$2:$M$2, 0))</f>
        <v>30</v>
      </c>
      <c r="O22">
        <f>INDEX('Points Schedule'!$H$4:$M$4, MATCH(E22, 'Points Schedule'!$H$2:$M$2, 0))</f>
        <v>30</v>
      </c>
      <c r="P22">
        <f>INDEX('Points Schedule'!$H$5:$M$5, MATCH(F22, 'Points Schedule'!$H$2:$M$2, 0))</f>
        <v>10</v>
      </c>
      <c r="Q22">
        <f>INDEX('Points Schedule'!$H$6:$M$6, MATCH(G22, 'Points Schedule'!$H$2:$M$2, 0))</f>
        <v>50</v>
      </c>
      <c r="R22">
        <f>INDEX('Points Schedule'!$H$7:$M$7, MATCH(I22, 'Points Schedule'!$H$2:$M$2, 0))</f>
        <v>10</v>
      </c>
      <c r="S22">
        <f>INDEX('Points Schedule'!$H$8:$M$8, MATCH(J22, 'Points Schedule'!$H$2:$M$2, 0))</f>
        <v>70</v>
      </c>
      <c r="T22">
        <f>INDEX('Points Schedule'!$H$9:$M$9, MATCH(K22, 'Points Schedule'!$H$2:$M$2, 0))</f>
        <v>20</v>
      </c>
      <c r="U22">
        <f>INDEX('Points Schedule'!$H$10:$M$10, MATCH(L22, 'Points Schedule'!$H$2:$M$2, 0))</f>
        <v>40</v>
      </c>
      <c r="V22">
        <f>INDEX('Points Schedule'!$H$11:$M$11, MATCH(M22, 'Points Schedule'!$H$2:$M$2, 0))</f>
        <v>90</v>
      </c>
      <c r="W22">
        <f t="shared" si="0"/>
        <v>350</v>
      </c>
      <c r="X22" cm="1">
        <f t="array" ref="X22">INDEX(Clusters!A:A, MATCH(1, (W22&gt;=Clusters!B:B)*(W22&lt;=Clusters!C:C), 0))</f>
        <v>5</v>
      </c>
      <c r="AB22" s="5"/>
      <c r="AC22" s="5"/>
      <c r="AD22" s="19"/>
      <c r="AE22" s="5"/>
      <c r="AF22" s="5"/>
    </row>
    <row r="23" spans="1:33" s="27" customFormat="1" ht="14.5" x14ac:dyDescent="0.35">
      <c r="A23" s="18" t="s">
        <v>26</v>
      </c>
      <c r="B23" s="18" t="s">
        <v>27</v>
      </c>
      <c r="C23" s="5">
        <v>56000</v>
      </c>
      <c r="D23">
        <v>3</v>
      </c>
      <c r="E23">
        <v>2</v>
      </c>
      <c r="F23">
        <v>2</v>
      </c>
      <c r="G23">
        <v>1</v>
      </c>
      <c r="H23">
        <v>1</v>
      </c>
      <c r="I23">
        <v>1</v>
      </c>
      <c r="J23">
        <v>1</v>
      </c>
      <c r="K23">
        <v>2</v>
      </c>
      <c r="L23">
        <v>2</v>
      </c>
      <c r="M23">
        <v>2</v>
      </c>
      <c r="N23">
        <f>INDEX('Points Schedule'!$H$3:$M$3, MATCH(D23, 'Points Schedule'!$H$2:$M$2, 0))</f>
        <v>30</v>
      </c>
      <c r="O23">
        <f>INDEX('Points Schedule'!$H$4:$M$4, MATCH(E23, 'Points Schedule'!$H$2:$M$2, 0))</f>
        <v>30</v>
      </c>
      <c r="P23">
        <f>INDEX('Points Schedule'!$H$5:$M$5, MATCH(F23, 'Points Schedule'!$H$2:$M$2, 0))</f>
        <v>10</v>
      </c>
      <c r="Q23">
        <f>INDEX('Points Schedule'!$H$6:$M$6, MATCH(G23, 'Points Schedule'!$H$2:$M$2, 0))</f>
        <v>25</v>
      </c>
      <c r="R23">
        <f>INDEX('Points Schedule'!$H$7:$M$7, MATCH(I23, 'Points Schedule'!$H$2:$M$2, 0))</f>
        <v>10</v>
      </c>
      <c r="S23">
        <f>INDEX('Points Schedule'!$H$8:$M$8, MATCH(J23, 'Points Schedule'!$H$2:$M$2, 0))</f>
        <v>70</v>
      </c>
      <c r="T23">
        <f>INDEX('Points Schedule'!$H$9:$M$9, MATCH(K23, 'Points Schedule'!$H$2:$M$2, 0))</f>
        <v>40</v>
      </c>
      <c r="U23">
        <f>INDEX('Points Schedule'!$H$10:$M$10, MATCH(L23, 'Points Schedule'!$H$2:$M$2, 0))</f>
        <v>80</v>
      </c>
      <c r="V23">
        <f>INDEX('Points Schedule'!$H$11:$M$11, MATCH(M23, 'Points Schedule'!$H$2:$M$2, 0))</f>
        <v>60</v>
      </c>
      <c r="W23">
        <f t="shared" si="0"/>
        <v>355</v>
      </c>
      <c r="X23" cm="1">
        <f t="array" ref="X23">INDEX(Clusters!A:A, MATCH(1, (W23&gt;=Clusters!B:B)*(W23&lt;=Clusters!C:C), 0))</f>
        <v>5</v>
      </c>
      <c r="Y23"/>
      <c r="Z23"/>
      <c r="AA23"/>
      <c r="AB23" s="5"/>
      <c r="AC23" s="5"/>
      <c r="AD23" s="19"/>
      <c r="AE23" s="5"/>
      <c r="AF23" s="5"/>
      <c r="AG23"/>
    </row>
    <row r="24" spans="1:33" s="27" customFormat="1" ht="14.5" x14ac:dyDescent="0.35">
      <c r="A24" s="18" t="s">
        <v>26</v>
      </c>
      <c r="B24" s="18" t="s">
        <v>27</v>
      </c>
      <c r="C24" s="5">
        <v>54390</v>
      </c>
      <c r="D24">
        <v>3</v>
      </c>
      <c r="E24">
        <v>2</v>
      </c>
      <c r="F24">
        <v>2</v>
      </c>
      <c r="G24">
        <v>1</v>
      </c>
      <c r="H24">
        <v>1</v>
      </c>
      <c r="I24">
        <v>1</v>
      </c>
      <c r="J24">
        <v>1</v>
      </c>
      <c r="K24">
        <v>2</v>
      </c>
      <c r="L24">
        <v>2</v>
      </c>
      <c r="M24">
        <v>2</v>
      </c>
      <c r="N24">
        <f>INDEX('Points Schedule'!$H$3:$M$3, MATCH(D24, 'Points Schedule'!$H$2:$M$2, 0))</f>
        <v>30</v>
      </c>
      <c r="O24">
        <f>INDEX('Points Schedule'!$H$4:$M$4, MATCH(E24, 'Points Schedule'!$H$2:$M$2, 0))</f>
        <v>30</v>
      </c>
      <c r="P24">
        <f>INDEX('Points Schedule'!$H$5:$M$5, MATCH(F24, 'Points Schedule'!$H$2:$M$2, 0))</f>
        <v>10</v>
      </c>
      <c r="Q24">
        <f>INDEX('Points Schedule'!$H$6:$M$6, MATCH(G24, 'Points Schedule'!$H$2:$M$2, 0))</f>
        <v>25</v>
      </c>
      <c r="R24">
        <f>INDEX('Points Schedule'!$H$7:$M$7, MATCH(I24, 'Points Schedule'!$H$2:$M$2, 0))</f>
        <v>10</v>
      </c>
      <c r="S24">
        <f>INDEX('Points Schedule'!$H$8:$M$8, MATCH(J24, 'Points Schedule'!$H$2:$M$2, 0))</f>
        <v>70</v>
      </c>
      <c r="T24">
        <f>INDEX('Points Schedule'!$H$9:$M$9, MATCH(K24, 'Points Schedule'!$H$2:$M$2, 0))</f>
        <v>40</v>
      </c>
      <c r="U24">
        <f>INDEX('Points Schedule'!$H$10:$M$10, MATCH(L24, 'Points Schedule'!$H$2:$M$2, 0))</f>
        <v>80</v>
      </c>
      <c r="V24">
        <f>INDEX('Points Schedule'!$H$11:$M$11, MATCH(M24, 'Points Schedule'!$H$2:$M$2, 0))</f>
        <v>60</v>
      </c>
      <c r="W24">
        <f t="shared" si="0"/>
        <v>355</v>
      </c>
      <c r="X24" cm="1">
        <f t="array" ref="X24">INDEX(Clusters!A:A, MATCH(1, (W24&gt;=Clusters!B:B)*(W24&lt;=Clusters!C:C), 0))</f>
        <v>5</v>
      </c>
      <c r="Y24"/>
      <c r="Z24"/>
      <c r="AA24"/>
      <c r="AB24" s="5"/>
      <c r="AC24" s="5"/>
      <c r="AD24" s="19"/>
      <c r="AE24" s="5"/>
      <c r="AF24" s="5"/>
      <c r="AG24"/>
    </row>
    <row r="25" spans="1:33" ht="14.5" x14ac:dyDescent="0.35">
      <c r="A25" s="18" t="s">
        <v>25</v>
      </c>
      <c r="B25" s="18" t="s">
        <v>27</v>
      </c>
      <c r="C25" s="5">
        <v>58700</v>
      </c>
      <c r="D25">
        <v>3</v>
      </c>
      <c r="E25">
        <v>2</v>
      </c>
      <c r="F25">
        <v>2</v>
      </c>
      <c r="G25">
        <v>2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f>INDEX('Points Schedule'!$H$3:$M$3, MATCH(D25, 'Points Schedule'!$H$2:$M$2, 0))</f>
        <v>30</v>
      </c>
      <c r="O25">
        <f>INDEX('Points Schedule'!$H$4:$M$4, MATCH(E25, 'Points Schedule'!$H$2:$M$2, 0))</f>
        <v>30</v>
      </c>
      <c r="P25">
        <f>INDEX('Points Schedule'!$H$5:$M$5, MATCH(F25, 'Points Schedule'!$H$2:$M$2, 0))</f>
        <v>10</v>
      </c>
      <c r="Q25">
        <f>INDEX('Points Schedule'!$H$6:$M$6, MATCH(G25, 'Points Schedule'!$H$2:$M$2, 0))</f>
        <v>50</v>
      </c>
      <c r="R25">
        <f>INDEX('Points Schedule'!$H$7:$M$7, MATCH(I25, 'Points Schedule'!$H$2:$M$2, 0))</f>
        <v>10</v>
      </c>
      <c r="S25">
        <f>INDEX('Points Schedule'!$H$8:$M$8, MATCH(J25, 'Points Schedule'!$H$2:$M$2, 0))</f>
        <v>70</v>
      </c>
      <c r="T25">
        <f>INDEX('Points Schedule'!$H$9:$M$9, MATCH(K25, 'Points Schedule'!$H$2:$M$2, 0))</f>
        <v>20</v>
      </c>
      <c r="U25">
        <f>INDEX('Points Schedule'!$H$10:$M$10, MATCH(L25, 'Points Schedule'!$H$2:$M$2, 0))</f>
        <v>80</v>
      </c>
      <c r="V25">
        <f>INDEX('Points Schedule'!$H$11:$M$11, MATCH(M25, 'Points Schedule'!$H$2:$M$2, 0))</f>
        <v>60</v>
      </c>
      <c r="W25">
        <f t="shared" si="0"/>
        <v>360</v>
      </c>
      <c r="X25" cm="1">
        <f t="array" ref="X25">INDEX(Clusters!A:A, MATCH(1, (W25&gt;=Clusters!B:B)*(W25&lt;=Clusters!C:C), 0))</f>
        <v>5</v>
      </c>
      <c r="AB25" s="5"/>
      <c r="AC25" s="5"/>
      <c r="AD25" s="19"/>
      <c r="AE25" s="5"/>
      <c r="AF25" s="5"/>
    </row>
    <row r="26" spans="1:33" ht="14.5" x14ac:dyDescent="0.35">
      <c r="A26" s="18" t="s">
        <v>16</v>
      </c>
      <c r="B26" s="18" t="s">
        <v>15</v>
      </c>
      <c r="C26" s="5">
        <v>55233</v>
      </c>
      <c r="D26">
        <v>3</v>
      </c>
      <c r="E26">
        <v>1</v>
      </c>
      <c r="F26">
        <v>2</v>
      </c>
      <c r="G26">
        <v>2</v>
      </c>
      <c r="H26">
        <v>1</v>
      </c>
      <c r="I26">
        <v>2</v>
      </c>
      <c r="J26">
        <v>1</v>
      </c>
      <c r="K26">
        <v>1</v>
      </c>
      <c r="L26">
        <v>3</v>
      </c>
      <c r="M26">
        <v>1</v>
      </c>
      <c r="N26">
        <f>INDEX('Points Schedule'!$H$3:$M$3, MATCH(D26, 'Points Schedule'!$H$2:$M$2, 0))</f>
        <v>30</v>
      </c>
      <c r="O26">
        <f>INDEX('Points Schedule'!$H$4:$M$4, MATCH(E26, 'Points Schedule'!$H$2:$M$2, 0))</f>
        <v>15</v>
      </c>
      <c r="P26">
        <f>INDEX('Points Schedule'!$H$5:$M$5, MATCH(F26, 'Points Schedule'!$H$2:$M$2, 0))</f>
        <v>10</v>
      </c>
      <c r="Q26">
        <f>INDEX('Points Schedule'!$H$6:$M$6, MATCH(G26, 'Points Schedule'!$H$2:$M$2, 0))</f>
        <v>50</v>
      </c>
      <c r="R26">
        <f>INDEX('Points Schedule'!$H$7:$M$7, MATCH(I26, 'Points Schedule'!$H$2:$M$2, 0))</f>
        <v>20</v>
      </c>
      <c r="S26">
        <f>INDEX('Points Schedule'!$H$8:$M$8, MATCH(J26, 'Points Schedule'!$H$2:$M$2, 0))</f>
        <v>70</v>
      </c>
      <c r="T26">
        <f>INDEX('Points Schedule'!$H$9:$M$9, MATCH(K26, 'Points Schedule'!$H$2:$M$2, 0))</f>
        <v>20</v>
      </c>
      <c r="U26">
        <f>INDEX('Points Schedule'!$H$10:$M$10, MATCH(L26, 'Points Schedule'!$H$2:$M$2, 0))</f>
        <v>120</v>
      </c>
      <c r="V26">
        <f>INDEX('Points Schedule'!$H$11:$M$11, MATCH(M26, 'Points Schedule'!$H$2:$M$2, 0))</f>
        <v>30</v>
      </c>
      <c r="W26">
        <f t="shared" si="0"/>
        <v>365</v>
      </c>
      <c r="X26" cm="1">
        <f t="array" ref="X26">INDEX(Clusters!A:A, MATCH(1, (W26&gt;=Clusters!B:B)*(W26&lt;=Clusters!C:C), 0))</f>
        <v>6</v>
      </c>
    </row>
    <row r="27" spans="1:33" ht="14.5" x14ac:dyDescent="0.35">
      <c r="A27" s="18" t="s">
        <v>52</v>
      </c>
      <c r="B27" s="18" t="s">
        <v>13</v>
      </c>
      <c r="C27" s="5">
        <v>59000</v>
      </c>
      <c r="D27">
        <v>3</v>
      </c>
      <c r="E27" s="3">
        <v>5</v>
      </c>
      <c r="F27">
        <v>2</v>
      </c>
      <c r="G27">
        <v>2</v>
      </c>
      <c r="H27">
        <v>1</v>
      </c>
      <c r="I27">
        <v>1</v>
      </c>
      <c r="J27">
        <v>1</v>
      </c>
      <c r="K27">
        <v>3</v>
      </c>
      <c r="L27">
        <v>1</v>
      </c>
      <c r="M27">
        <v>1</v>
      </c>
      <c r="N27">
        <f>INDEX('Points Schedule'!$H$3:$M$3, MATCH(D27, 'Points Schedule'!$H$2:$M$2, 0))</f>
        <v>30</v>
      </c>
      <c r="O27">
        <f>INDEX('Points Schedule'!$H$4:$M$4, MATCH(E27, 'Points Schedule'!$H$2:$M$2, 0))</f>
        <v>75</v>
      </c>
      <c r="P27">
        <f>INDEX('Points Schedule'!$H$5:$M$5, MATCH(F27, 'Points Schedule'!$H$2:$M$2, 0))</f>
        <v>10</v>
      </c>
      <c r="Q27">
        <f>INDEX('Points Schedule'!$H$6:$M$6, MATCH(G27, 'Points Schedule'!$H$2:$M$2, 0))</f>
        <v>50</v>
      </c>
      <c r="R27">
        <f>INDEX('Points Schedule'!$H$7:$M$7, MATCH(I27, 'Points Schedule'!$H$2:$M$2, 0))</f>
        <v>10</v>
      </c>
      <c r="S27">
        <f>INDEX('Points Schedule'!$H$8:$M$8, MATCH(J27, 'Points Schedule'!$H$2:$M$2, 0))</f>
        <v>70</v>
      </c>
      <c r="T27">
        <f>INDEX('Points Schedule'!$H$9:$M$9, MATCH(K27, 'Points Schedule'!$H$2:$M$2, 0))</f>
        <v>60</v>
      </c>
      <c r="U27">
        <f>INDEX('Points Schedule'!$H$10:$M$10, MATCH(L27, 'Points Schedule'!$H$2:$M$2, 0))</f>
        <v>40</v>
      </c>
      <c r="V27">
        <f>INDEX('Points Schedule'!$H$11:$M$11, MATCH(M27, 'Points Schedule'!$H$2:$M$2, 0))</f>
        <v>30</v>
      </c>
      <c r="W27">
        <f t="shared" si="0"/>
        <v>375</v>
      </c>
      <c r="X27" cm="1">
        <f t="array" ref="X27">INDEX(Clusters!A:A, MATCH(1, (W27&gt;=Clusters!B:B)*(W27&lt;=Clusters!C:C), 0))</f>
        <v>6</v>
      </c>
    </row>
    <row r="28" spans="1:33" ht="14.5" x14ac:dyDescent="0.35">
      <c r="A28" s="18" t="s">
        <v>55</v>
      </c>
      <c r="B28" s="18" t="s">
        <v>15</v>
      </c>
      <c r="C28" s="5">
        <v>67040</v>
      </c>
      <c r="D28">
        <v>3</v>
      </c>
      <c r="E28">
        <v>3</v>
      </c>
      <c r="F28">
        <v>1</v>
      </c>
      <c r="G28">
        <v>1</v>
      </c>
      <c r="H28">
        <v>2</v>
      </c>
      <c r="I28">
        <v>1</v>
      </c>
      <c r="J28">
        <v>1</v>
      </c>
      <c r="K28">
        <v>2</v>
      </c>
      <c r="L28">
        <v>2</v>
      </c>
      <c r="M28">
        <v>3</v>
      </c>
      <c r="N28">
        <f>INDEX('Points Schedule'!$H$3:$M$3, MATCH(D28, 'Points Schedule'!$H$2:$M$2, 0))</f>
        <v>30</v>
      </c>
      <c r="O28">
        <f>INDEX('Points Schedule'!$H$4:$M$4, MATCH(E28, 'Points Schedule'!$H$2:$M$2, 0))</f>
        <v>45</v>
      </c>
      <c r="P28">
        <f>INDEX('Points Schedule'!$H$5:$M$5, MATCH(F28, 'Points Schedule'!$H$2:$M$2, 0))</f>
        <v>5</v>
      </c>
      <c r="Q28">
        <f>INDEX('Points Schedule'!$H$6:$M$6, MATCH(G28, 'Points Schedule'!$H$2:$M$2, 0))</f>
        <v>25</v>
      </c>
      <c r="R28">
        <f>INDEX('Points Schedule'!$H$7:$M$7, MATCH(I28, 'Points Schedule'!$H$2:$M$2, 0))</f>
        <v>10</v>
      </c>
      <c r="S28">
        <f>INDEX('Points Schedule'!$H$8:$M$8, MATCH(J28, 'Points Schedule'!$H$2:$M$2, 0))</f>
        <v>70</v>
      </c>
      <c r="T28">
        <f>INDEX('Points Schedule'!$H$9:$M$9, MATCH(K28, 'Points Schedule'!$H$2:$M$2, 0))</f>
        <v>40</v>
      </c>
      <c r="U28">
        <f>INDEX('Points Schedule'!$H$10:$M$10, MATCH(L28, 'Points Schedule'!$H$2:$M$2, 0))</f>
        <v>80</v>
      </c>
      <c r="V28">
        <f>INDEX('Points Schedule'!$H$11:$M$11, MATCH(M28, 'Points Schedule'!$H$2:$M$2, 0))</f>
        <v>90</v>
      </c>
      <c r="W28">
        <f t="shared" si="0"/>
        <v>395</v>
      </c>
      <c r="X28" cm="1">
        <f t="array" ref="X28">INDEX(Clusters!A:A, MATCH(1, (W28&gt;=Clusters!B:B)*(W28&lt;=Clusters!C:C), 0))</f>
        <v>6</v>
      </c>
      <c r="Y28">
        <v>57.876923076923077</v>
      </c>
      <c r="Z28" s="19">
        <f>Y28*1000</f>
        <v>57876.923076923078</v>
      </c>
    </row>
    <row r="29" spans="1:33" s="17" customFormat="1" ht="14.5" x14ac:dyDescent="0.35">
      <c r="A29" s="18" t="s">
        <v>39</v>
      </c>
      <c r="B29" s="18" t="s">
        <v>20</v>
      </c>
      <c r="C29" s="5">
        <v>51082</v>
      </c>
      <c r="D29">
        <v>3</v>
      </c>
      <c r="E29">
        <v>2</v>
      </c>
      <c r="F29">
        <v>2</v>
      </c>
      <c r="G29">
        <v>2</v>
      </c>
      <c r="H29">
        <v>1</v>
      </c>
      <c r="I29">
        <v>3</v>
      </c>
      <c r="J29">
        <v>2</v>
      </c>
      <c r="K29">
        <v>1</v>
      </c>
      <c r="L29">
        <v>1</v>
      </c>
      <c r="M29">
        <v>2</v>
      </c>
      <c r="N29">
        <f>INDEX('Points Schedule'!$H$3:$M$3, MATCH(D29, 'Points Schedule'!$H$2:$M$2, 0))</f>
        <v>30</v>
      </c>
      <c r="O29">
        <f>INDEX('Points Schedule'!$H$4:$M$4, MATCH(E29, 'Points Schedule'!$H$2:$M$2, 0))</f>
        <v>30</v>
      </c>
      <c r="P29">
        <f>INDEX('Points Schedule'!$H$5:$M$5, MATCH(F29, 'Points Schedule'!$H$2:$M$2, 0))</f>
        <v>10</v>
      </c>
      <c r="Q29">
        <f>INDEX('Points Schedule'!$H$6:$M$6, MATCH(G29, 'Points Schedule'!$H$2:$M$2, 0))</f>
        <v>50</v>
      </c>
      <c r="R29">
        <f>INDEX('Points Schedule'!$H$7:$M$7, MATCH(I29, 'Points Schedule'!$H$2:$M$2, 0))</f>
        <v>30</v>
      </c>
      <c r="S29">
        <f>INDEX('Points Schedule'!$H$8:$M$8, MATCH(J29, 'Points Schedule'!$H$2:$M$2, 0))</f>
        <v>140</v>
      </c>
      <c r="T29">
        <f>INDEX('Points Schedule'!$H$9:$M$9, MATCH(K29, 'Points Schedule'!$H$2:$M$2, 0))</f>
        <v>20</v>
      </c>
      <c r="U29">
        <f>INDEX('Points Schedule'!$H$10:$M$10, MATCH(L29, 'Points Schedule'!$H$2:$M$2, 0))</f>
        <v>40</v>
      </c>
      <c r="V29">
        <f>INDEX('Points Schedule'!$H$11:$M$11, MATCH(M29, 'Points Schedule'!$H$2:$M$2, 0))</f>
        <v>60</v>
      </c>
      <c r="W29">
        <f t="shared" si="0"/>
        <v>410</v>
      </c>
      <c r="X29" cm="1">
        <f t="array" ref="X29">INDEX(Clusters!A:A, MATCH(1, (W29&gt;=Clusters!B:B)*(W29&lt;=Clusters!C:C), 0))</f>
        <v>6</v>
      </c>
      <c r="Y29">
        <v>68.414634146341456</v>
      </c>
      <c r="Z29" s="19">
        <f>Y29*1000</f>
        <v>68414.634146341457</v>
      </c>
      <c r="AA29"/>
      <c r="AB29"/>
      <c r="AC29"/>
      <c r="AD29"/>
      <c r="AE29"/>
      <c r="AF29"/>
      <c r="AG29"/>
    </row>
    <row r="30" spans="1:33" s="27" customFormat="1" ht="14.5" x14ac:dyDescent="0.35">
      <c r="A30" s="18" t="s">
        <v>61</v>
      </c>
      <c r="B30" s="18" t="s">
        <v>27</v>
      </c>
      <c r="C30" s="5">
        <v>64755</v>
      </c>
      <c r="D30">
        <v>3</v>
      </c>
      <c r="E30">
        <v>3</v>
      </c>
      <c r="F30">
        <v>2</v>
      </c>
      <c r="G30">
        <v>2</v>
      </c>
      <c r="H30">
        <v>2</v>
      </c>
      <c r="I30">
        <v>1</v>
      </c>
      <c r="J30">
        <v>1</v>
      </c>
      <c r="K30">
        <v>2</v>
      </c>
      <c r="L30">
        <v>2</v>
      </c>
      <c r="M30">
        <v>3</v>
      </c>
      <c r="N30">
        <f>INDEX('Points Schedule'!$H$3:$M$3, MATCH(D30, 'Points Schedule'!$H$2:$M$2, 0))</f>
        <v>30</v>
      </c>
      <c r="O30">
        <f>INDEX('Points Schedule'!$H$4:$M$4, MATCH(E30, 'Points Schedule'!$H$2:$M$2, 0))</f>
        <v>45</v>
      </c>
      <c r="P30">
        <f>INDEX('Points Schedule'!$H$5:$M$5, MATCH(F30, 'Points Schedule'!$H$2:$M$2, 0))</f>
        <v>10</v>
      </c>
      <c r="Q30">
        <f>INDEX('Points Schedule'!$H$6:$M$6, MATCH(G30, 'Points Schedule'!$H$2:$M$2, 0))</f>
        <v>50</v>
      </c>
      <c r="R30">
        <f>INDEX('Points Schedule'!$H$7:$M$7, MATCH(I30, 'Points Schedule'!$H$2:$M$2, 0))</f>
        <v>10</v>
      </c>
      <c r="S30">
        <f>INDEX('Points Schedule'!$H$8:$M$8, MATCH(J30, 'Points Schedule'!$H$2:$M$2, 0))</f>
        <v>70</v>
      </c>
      <c r="T30">
        <f>INDEX('Points Schedule'!$H$9:$M$9, MATCH(K30, 'Points Schedule'!$H$2:$M$2, 0))</f>
        <v>40</v>
      </c>
      <c r="U30">
        <f>INDEX('Points Schedule'!$H$10:$M$10, MATCH(L30, 'Points Schedule'!$H$2:$M$2, 0))</f>
        <v>80</v>
      </c>
      <c r="V30">
        <f>INDEX('Points Schedule'!$H$11:$M$11, MATCH(M30, 'Points Schedule'!$H$2:$M$2, 0))</f>
        <v>90</v>
      </c>
      <c r="W30">
        <f t="shared" si="0"/>
        <v>425</v>
      </c>
      <c r="X30" cm="1">
        <f t="array" ref="X30">INDEX(Clusters!A:A, MATCH(1, (W30&gt;=Clusters!B:B)*(W30&lt;=Clusters!C:C), 0))</f>
        <v>7</v>
      </c>
      <c r="Y30">
        <v>70.516216216216208</v>
      </c>
      <c r="Z30" s="19">
        <f>Y30*1000</f>
        <v>70516.216216216213</v>
      </c>
      <c r="AA30"/>
      <c r="AB30"/>
      <c r="AC30"/>
      <c r="AD30"/>
      <c r="AE30"/>
      <c r="AF30"/>
      <c r="AG30"/>
    </row>
    <row r="31" spans="1:33" ht="14.5" x14ac:dyDescent="0.35">
      <c r="A31" s="18" t="s">
        <v>14</v>
      </c>
      <c r="B31" s="18" t="s">
        <v>15</v>
      </c>
      <c r="C31" s="5">
        <v>47375</v>
      </c>
      <c r="D31">
        <v>3</v>
      </c>
      <c r="E31">
        <v>3</v>
      </c>
      <c r="F31">
        <v>2</v>
      </c>
      <c r="G31">
        <v>2</v>
      </c>
      <c r="H31">
        <v>4</v>
      </c>
      <c r="I31">
        <v>3</v>
      </c>
      <c r="J31">
        <v>1</v>
      </c>
      <c r="K31">
        <v>3</v>
      </c>
      <c r="L31">
        <v>2</v>
      </c>
      <c r="M31">
        <v>3</v>
      </c>
      <c r="N31">
        <f>INDEX('Points Schedule'!$H$3:$M$3, MATCH(D31, 'Points Schedule'!$H$2:$M$2, 0))</f>
        <v>30</v>
      </c>
      <c r="O31">
        <f>INDEX('Points Schedule'!$H$4:$M$4, MATCH(E31, 'Points Schedule'!$H$2:$M$2, 0))</f>
        <v>45</v>
      </c>
      <c r="P31">
        <f>INDEX('Points Schedule'!$H$5:$M$5, MATCH(F31, 'Points Schedule'!$H$2:$M$2, 0))</f>
        <v>10</v>
      </c>
      <c r="Q31">
        <f>INDEX('Points Schedule'!$H$6:$M$6, MATCH(G31, 'Points Schedule'!$H$2:$M$2, 0))</f>
        <v>50</v>
      </c>
      <c r="R31">
        <f>INDEX('Points Schedule'!$H$7:$M$7, MATCH(I31, 'Points Schedule'!$H$2:$M$2, 0))</f>
        <v>30</v>
      </c>
      <c r="S31">
        <f>INDEX('Points Schedule'!$H$8:$M$8, MATCH(J31, 'Points Schedule'!$H$2:$M$2, 0))</f>
        <v>70</v>
      </c>
      <c r="T31">
        <f>INDEX('Points Schedule'!$H$9:$M$9, MATCH(K31, 'Points Schedule'!$H$2:$M$2, 0))</f>
        <v>60</v>
      </c>
      <c r="U31">
        <f>INDEX('Points Schedule'!$H$10:$M$10, MATCH(L31, 'Points Schedule'!$H$2:$M$2, 0))</f>
        <v>80</v>
      </c>
      <c r="V31">
        <f>INDEX('Points Schedule'!$H$11:$M$11, MATCH(M31, 'Points Schedule'!$H$2:$M$2, 0))</f>
        <v>90</v>
      </c>
      <c r="W31">
        <f t="shared" si="0"/>
        <v>465</v>
      </c>
      <c r="X31" cm="1">
        <f t="array" ref="X31">INDEX(Clusters!A:A, MATCH(1, (W31&gt;=Clusters!B:B)*(W31&lt;=Clusters!C:C), 0))</f>
        <v>7</v>
      </c>
      <c r="Y31">
        <v>47.849333333333341</v>
      </c>
      <c r="Z31" s="19">
        <f>Y31*1000</f>
        <v>47849.333333333343</v>
      </c>
    </row>
    <row r="32" spans="1:33" ht="14.5" x14ac:dyDescent="0.35">
      <c r="A32" s="18" t="s">
        <v>8</v>
      </c>
      <c r="B32" s="18" t="s">
        <v>6</v>
      </c>
      <c r="C32" s="5">
        <v>53042</v>
      </c>
      <c r="D32">
        <v>4</v>
      </c>
      <c r="E32">
        <v>3</v>
      </c>
      <c r="F32">
        <v>4</v>
      </c>
      <c r="G32">
        <v>2</v>
      </c>
      <c r="H32">
        <v>2</v>
      </c>
      <c r="I32">
        <v>1</v>
      </c>
      <c r="J32">
        <v>2</v>
      </c>
      <c r="K32">
        <v>4</v>
      </c>
      <c r="L32">
        <v>2</v>
      </c>
      <c r="M32">
        <v>2</v>
      </c>
      <c r="N32">
        <f>INDEX('Points Schedule'!$H$3:$M$3, MATCH(D32, 'Points Schedule'!$H$2:$M$2, 0))</f>
        <v>40</v>
      </c>
      <c r="O32">
        <f>INDEX('Points Schedule'!$H$4:$M$4, MATCH(E32, 'Points Schedule'!$H$2:$M$2, 0))</f>
        <v>45</v>
      </c>
      <c r="P32">
        <f>INDEX('Points Schedule'!$H$5:$M$5, MATCH(F32, 'Points Schedule'!$H$2:$M$2, 0))</f>
        <v>20</v>
      </c>
      <c r="Q32">
        <f>INDEX('Points Schedule'!$H$6:$M$6, MATCH(G32, 'Points Schedule'!$H$2:$M$2, 0))</f>
        <v>50</v>
      </c>
      <c r="R32">
        <f>INDEX('Points Schedule'!$H$7:$M$7, MATCH(I32, 'Points Schedule'!$H$2:$M$2, 0))</f>
        <v>10</v>
      </c>
      <c r="S32">
        <f>INDEX('Points Schedule'!$H$8:$M$8, MATCH(J32, 'Points Schedule'!$H$2:$M$2, 0))</f>
        <v>140</v>
      </c>
      <c r="T32">
        <f>INDEX('Points Schedule'!$H$9:$M$9, MATCH(K32, 'Points Schedule'!$H$2:$M$2, 0))</f>
        <v>80</v>
      </c>
      <c r="U32">
        <f>INDEX('Points Schedule'!$H$10:$M$10, MATCH(L32, 'Points Schedule'!$H$2:$M$2, 0))</f>
        <v>80</v>
      </c>
      <c r="V32">
        <f>INDEX('Points Schedule'!$H$11:$M$11, MATCH(M32, 'Points Schedule'!$H$2:$M$2, 0))</f>
        <v>60</v>
      </c>
      <c r="W32">
        <f t="shared" si="0"/>
        <v>525</v>
      </c>
      <c r="X32" cm="1">
        <f t="array" ref="X32">INDEX(Clusters!A:A, MATCH(1, (W32&gt;=Clusters!B:B)*(W32&lt;=Clusters!C:C), 0))</f>
        <v>8</v>
      </c>
    </row>
    <row r="33" spans="1:33" ht="14.5" x14ac:dyDescent="0.35">
      <c r="A33" s="18" t="s">
        <v>47</v>
      </c>
      <c r="B33" s="18" t="s">
        <v>6</v>
      </c>
      <c r="C33" s="5">
        <v>72180</v>
      </c>
      <c r="D33">
        <v>2</v>
      </c>
      <c r="E33">
        <v>2</v>
      </c>
      <c r="F33">
        <v>4</v>
      </c>
      <c r="G33">
        <v>1</v>
      </c>
      <c r="H33">
        <v>4</v>
      </c>
      <c r="I33">
        <v>2</v>
      </c>
      <c r="J33">
        <v>3</v>
      </c>
      <c r="K33">
        <v>3</v>
      </c>
      <c r="L33">
        <v>2</v>
      </c>
      <c r="M33">
        <v>2</v>
      </c>
      <c r="N33">
        <f>INDEX('Points Schedule'!$H$3:$M$3, MATCH(D33, 'Points Schedule'!$H$2:$M$2, 0))</f>
        <v>20</v>
      </c>
      <c r="O33">
        <f>INDEX('Points Schedule'!$H$4:$M$4, MATCH(E33, 'Points Schedule'!$H$2:$M$2, 0))</f>
        <v>30</v>
      </c>
      <c r="P33">
        <f>INDEX('Points Schedule'!$H$5:$M$5, MATCH(F33, 'Points Schedule'!$H$2:$M$2, 0))</f>
        <v>20</v>
      </c>
      <c r="Q33">
        <f>INDEX('Points Schedule'!$H$6:$M$6, MATCH(G33, 'Points Schedule'!$H$2:$M$2, 0))</f>
        <v>25</v>
      </c>
      <c r="R33">
        <f>INDEX('Points Schedule'!$H$7:$M$7, MATCH(I33, 'Points Schedule'!$H$2:$M$2, 0))</f>
        <v>20</v>
      </c>
      <c r="S33">
        <f>INDEX('Points Schedule'!$H$8:$M$8, MATCH(J33, 'Points Schedule'!$H$2:$M$2, 0))</f>
        <v>210</v>
      </c>
      <c r="T33">
        <f>INDEX('Points Schedule'!$H$9:$M$9, MATCH(K33, 'Points Schedule'!$H$2:$M$2, 0))</f>
        <v>60</v>
      </c>
      <c r="U33">
        <f>INDEX('Points Schedule'!$H$10:$M$10, MATCH(L33, 'Points Schedule'!$H$2:$M$2, 0))</f>
        <v>80</v>
      </c>
      <c r="V33">
        <f>INDEX('Points Schedule'!$H$11:$M$11, MATCH(M33, 'Points Schedule'!$H$2:$M$2, 0))</f>
        <v>60</v>
      </c>
      <c r="W33">
        <f t="shared" si="0"/>
        <v>525</v>
      </c>
      <c r="X33" cm="1">
        <f t="array" ref="X33">INDEX(Clusters!A:A, MATCH(1, (W33&gt;=Clusters!B:B)*(W33&lt;=Clusters!C:C), 0))</f>
        <v>8</v>
      </c>
      <c r="Y33">
        <v>69.642857142857139</v>
      </c>
      <c r="Z33" s="19">
        <f>Y33*1000</f>
        <v>69642.857142857145</v>
      </c>
    </row>
    <row r="34" spans="1:33" ht="14.5" x14ac:dyDescent="0.35">
      <c r="A34" s="18" t="s">
        <v>18</v>
      </c>
      <c r="B34" s="18" t="s">
        <v>15</v>
      </c>
      <c r="C34" s="5">
        <v>83828</v>
      </c>
      <c r="D34">
        <v>3</v>
      </c>
      <c r="E34">
        <v>5</v>
      </c>
      <c r="F34">
        <v>3</v>
      </c>
      <c r="G34">
        <v>3</v>
      </c>
      <c r="H34">
        <v>3</v>
      </c>
      <c r="I34">
        <v>2</v>
      </c>
      <c r="J34">
        <v>1</v>
      </c>
      <c r="K34">
        <v>4</v>
      </c>
      <c r="L34">
        <v>3</v>
      </c>
      <c r="M34">
        <v>2</v>
      </c>
      <c r="N34">
        <f>INDEX('Points Schedule'!$H$3:$M$3, MATCH(D34, 'Points Schedule'!$H$2:$M$2, 0))</f>
        <v>30</v>
      </c>
      <c r="O34">
        <f>INDEX('Points Schedule'!$H$4:$M$4, MATCH(E34, 'Points Schedule'!$H$2:$M$2, 0))</f>
        <v>75</v>
      </c>
      <c r="P34">
        <f>INDEX('Points Schedule'!$H$5:$M$5, MATCH(F34, 'Points Schedule'!$H$2:$M$2, 0))</f>
        <v>15</v>
      </c>
      <c r="Q34">
        <f>INDEX('Points Schedule'!$H$6:$M$6, MATCH(G34, 'Points Schedule'!$H$2:$M$2, 0))</f>
        <v>75</v>
      </c>
      <c r="R34">
        <f>INDEX('Points Schedule'!$H$7:$M$7, MATCH(I34, 'Points Schedule'!$H$2:$M$2, 0))</f>
        <v>20</v>
      </c>
      <c r="S34">
        <f>INDEX('Points Schedule'!$H$8:$M$8, MATCH(J34, 'Points Schedule'!$H$2:$M$2, 0))</f>
        <v>70</v>
      </c>
      <c r="T34">
        <f>INDEX('Points Schedule'!$H$9:$M$9, MATCH(K34, 'Points Schedule'!$H$2:$M$2, 0))</f>
        <v>80</v>
      </c>
      <c r="U34">
        <f>INDEX('Points Schedule'!$H$10:$M$10, MATCH(L34, 'Points Schedule'!$H$2:$M$2, 0))</f>
        <v>120</v>
      </c>
      <c r="V34">
        <f>INDEX('Points Schedule'!$H$11:$M$11, MATCH(M34, 'Points Schedule'!$H$2:$M$2, 0))</f>
        <v>60</v>
      </c>
      <c r="W34">
        <f t="shared" si="0"/>
        <v>545</v>
      </c>
      <c r="X34" cm="1">
        <f t="array" ref="X34">INDEX(Clusters!A:A, MATCH(1, (W34&gt;=Clusters!B:B)*(W34&lt;=Clusters!C:C), 0))</f>
        <v>8</v>
      </c>
    </row>
    <row r="35" spans="1:33" ht="14.5" x14ac:dyDescent="0.35">
      <c r="A35" s="18" t="s">
        <v>17</v>
      </c>
      <c r="B35" s="18" t="s">
        <v>15</v>
      </c>
      <c r="C35" s="5">
        <v>81247</v>
      </c>
      <c r="D35">
        <v>3</v>
      </c>
      <c r="E35">
        <v>2</v>
      </c>
      <c r="F35">
        <v>2</v>
      </c>
      <c r="G35">
        <v>3</v>
      </c>
      <c r="H35">
        <v>3</v>
      </c>
      <c r="I35">
        <v>2</v>
      </c>
      <c r="J35">
        <v>2</v>
      </c>
      <c r="K35">
        <v>4</v>
      </c>
      <c r="L35">
        <v>3</v>
      </c>
      <c r="M35">
        <v>2</v>
      </c>
      <c r="N35">
        <f>INDEX('Points Schedule'!$H$3:$M$3, MATCH(D35, 'Points Schedule'!$H$2:$M$2, 0))</f>
        <v>30</v>
      </c>
      <c r="O35">
        <f>INDEX('Points Schedule'!$H$4:$M$4, MATCH(E35, 'Points Schedule'!$H$2:$M$2, 0))</f>
        <v>30</v>
      </c>
      <c r="P35">
        <f>INDEX('Points Schedule'!$H$5:$M$5, MATCH(F35, 'Points Schedule'!$H$2:$M$2, 0))</f>
        <v>10</v>
      </c>
      <c r="Q35">
        <f>INDEX('Points Schedule'!$H$6:$M$6, MATCH(G35, 'Points Schedule'!$H$2:$M$2, 0))</f>
        <v>75</v>
      </c>
      <c r="R35">
        <f>INDEX('Points Schedule'!$H$7:$M$7, MATCH(I35, 'Points Schedule'!$H$2:$M$2, 0))</f>
        <v>20</v>
      </c>
      <c r="S35">
        <f>INDEX('Points Schedule'!$H$8:$M$8, MATCH(J35, 'Points Schedule'!$H$2:$M$2, 0))</f>
        <v>140</v>
      </c>
      <c r="T35">
        <f>INDEX('Points Schedule'!$H$9:$M$9, MATCH(K35, 'Points Schedule'!$H$2:$M$2, 0))</f>
        <v>80</v>
      </c>
      <c r="U35">
        <f>INDEX('Points Schedule'!$H$10:$M$10, MATCH(L35, 'Points Schedule'!$H$2:$M$2, 0))</f>
        <v>120</v>
      </c>
      <c r="V35">
        <f>INDEX('Points Schedule'!$H$11:$M$11, MATCH(M35, 'Points Schedule'!$H$2:$M$2, 0))</f>
        <v>60</v>
      </c>
      <c r="W35">
        <f t="shared" si="0"/>
        <v>565</v>
      </c>
      <c r="X35" cm="1">
        <f t="array" ref="X35">INDEX(Clusters!A:A, MATCH(1, (W35&gt;=Clusters!B:B)*(W35&lt;=Clusters!C:C), 0))</f>
        <v>8</v>
      </c>
    </row>
    <row r="36" spans="1:33" ht="14.5" x14ac:dyDescent="0.35">
      <c r="A36" s="18" t="s">
        <v>44</v>
      </c>
      <c r="B36" s="18" t="s">
        <v>20</v>
      </c>
      <c r="C36" s="5">
        <v>69733</v>
      </c>
      <c r="D36">
        <v>3</v>
      </c>
      <c r="E36">
        <v>3</v>
      </c>
      <c r="F36">
        <v>3</v>
      </c>
      <c r="G36">
        <v>3</v>
      </c>
      <c r="H36">
        <v>5</v>
      </c>
      <c r="I36">
        <v>3</v>
      </c>
      <c r="J36">
        <v>2</v>
      </c>
      <c r="K36">
        <v>3</v>
      </c>
      <c r="L36">
        <v>2</v>
      </c>
      <c r="M36">
        <v>3</v>
      </c>
      <c r="N36">
        <f>INDEX('Points Schedule'!$H$3:$M$3, MATCH(D36, 'Points Schedule'!$H$2:$M$2, 0))</f>
        <v>30</v>
      </c>
      <c r="O36">
        <f>INDEX('Points Schedule'!$H$4:$M$4, MATCH(E36, 'Points Schedule'!$H$2:$M$2, 0))</f>
        <v>45</v>
      </c>
      <c r="P36">
        <f>INDEX('Points Schedule'!$H$5:$M$5, MATCH(F36, 'Points Schedule'!$H$2:$M$2, 0))</f>
        <v>15</v>
      </c>
      <c r="Q36">
        <f>INDEX('Points Schedule'!$H$6:$M$6, MATCH(G36, 'Points Schedule'!$H$2:$M$2, 0))</f>
        <v>75</v>
      </c>
      <c r="R36">
        <f>INDEX('Points Schedule'!$H$7:$M$7, MATCH(I36, 'Points Schedule'!$H$2:$M$2, 0))</f>
        <v>30</v>
      </c>
      <c r="S36">
        <f>INDEX('Points Schedule'!$H$8:$M$8, MATCH(J36, 'Points Schedule'!$H$2:$M$2, 0))</f>
        <v>140</v>
      </c>
      <c r="T36">
        <f>INDEX('Points Schedule'!$H$9:$M$9, MATCH(K36, 'Points Schedule'!$H$2:$M$2, 0))</f>
        <v>60</v>
      </c>
      <c r="U36">
        <f>INDEX('Points Schedule'!$H$10:$M$10, MATCH(L36, 'Points Schedule'!$H$2:$M$2, 0))</f>
        <v>80</v>
      </c>
      <c r="V36">
        <f>INDEX('Points Schedule'!$H$11:$M$11, MATCH(M36, 'Points Schedule'!$H$2:$M$2, 0))</f>
        <v>90</v>
      </c>
      <c r="W36">
        <f t="shared" si="0"/>
        <v>565</v>
      </c>
      <c r="X36" cm="1">
        <f t="array" ref="X36">INDEX(Clusters!A:A, MATCH(1, (W36&gt;=Clusters!B:B)*(W36&lt;=Clusters!C:C), 0))</f>
        <v>8</v>
      </c>
      <c r="Y36">
        <v>85.162369337979101</v>
      </c>
      <c r="Z36" s="19">
        <f>Y36*1000</f>
        <v>85162.369337979108</v>
      </c>
    </row>
    <row r="37" spans="1:33" s="14" customFormat="1" ht="14.5" x14ac:dyDescent="0.35">
      <c r="A37" s="18" t="s">
        <v>49</v>
      </c>
      <c r="B37" s="18" t="s">
        <v>12</v>
      </c>
      <c r="C37" s="5">
        <v>71707</v>
      </c>
      <c r="D37">
        <v>3</v>
      </c>
      <c r="E37" s="3">
        <v>3</v>
      </c>
      <c r="F37">
        <v>4</v>
      </c>
      <c r="G37">
        <v>3</v>
      </c>
      <c r="H37">
        <v>4</v>
      </c>
      <c r="I37">
        <v>3</v>
      </c>
      <c r="J37">
        <v>2</v>
      </c>
      <c r="K37">
        <v>5</v>
      </c>
      <c r="L37">
        <v>3</v>
      </c>
      <c r="M37">
        <v>3</v>
      </c>
      <c r="N37">
        <f>INDEX('Points Schedule'!$H$3:$M$3, MATCH(D37, 'Points Schedule'!$H$2:$M$2, 0))</f>
        <v>30</v>
      </c>
      <c r="O37">
        <f>INDEX('Points Schedule'!$H$4:$M$4, MATCH(E37, 'Points Schedule'!$H$2:$M$2, 0))</f>
        <v>45</v>
      </c>
      <c r="P37">
        <f>INDEX('Points Schedule'!$H$5:$M$5, MATCH(F37, 'Points Schedule'!$H$2:$M$2, 0))</f>
        <v>20</v>
      </c>
      <c r="Q37">
        <f>INDEX('Points Schedule'!$H$6:$M$6, MATCH(G37, 'Points Schedule'!$H$2:$M$2, 0))</f>
        <v>75</v>
      </c>
      <c r="R37">
        <f>INDEX('Points Schedule'!$H$7:$M$7, MATCH(I37, 'Points Schedule'!$H$2:$M$2, 0))</f>
        <v>30</v>
      </c>
      <c r="S37">
        <f>INDEX('Points Schedule'!$H$8:$M$8, MATCH(J37, 'Points Schedule'!$H$2:$M$2, 0))</f>
        <v>140</v>
      </c>
      <c r="T37">
        <f>INDEX('Points Schedule'!$H$9:$M$9, MATCH(K37, 'Points Schedule'!$H$2:$M$2, 0))</f>
        <v>100</v>
      </c>
      <c r="U37">
        <f>INDEX('Points Schedule'!$H$10:$M$10, MATCH(L37, 'Points Schedule'!$H$2:$M$2, 0))</f>
        <v>120</v>
      </c>
      <c r="V37">
        <f>INDEX('Points Schedule'!$H$11:$M$11, MATCH(M37, 'Points Schedule'!$H$2:$M$2, 0))</f>
        <v>90</v>
      </c>
      <c r="W37">
        <f t="shared" si="0"/>
        <v>650</v>
      </c>
      <c r="X37" cm="1">
        <f t="array" ref="X37">INDEX(Clusters!A:A, MATCH(1, (W37&gt;=Clusters!B:B)*(W37&lt;=Clusters!C:C), 0))</f>
        <v>9</v>
      </c>
      <c r="Y37"/>
      <c r="Z37"/>
      <c r="AA37"/>
      <c r="AB37"/>
      <c r="AC37"/>
      <c r="AD37"/>
      <c r="AE37"/>
      <c r="AF37"/>
      <c r="AG37"/>
    </row>
    <row r="38" spans="1:33" s="15" customFormat="1" ht="14.5" x14ac:dyDescent="0.35">
      <c r="A38" s="18" t="s">
        <v>29</v>
      </c>
      <c r="B38" s="18" t="s">
        <v>27</v>
      </c>
      <c r="C38" s="5">
        <v>84980</v>
      </c>
      <c r="D38">
        <v>4</v>
      </c>
      <c r="E38">
        <v>5</v>
      </c>
      <c r="F38">
        <v>3</v>
      </c>
      <c r="G38">
        <v>3</v>
      </c>
      <c r="H38">
        <v>5</v>
      </c>
      <c r="I38">
        <v>1</v>
      </c>
      <c r="J38">
        <v>3</v>
      </c>
      <c r="K38">
        <v>3</v>
      </c>
      <c r="L38">
        <v>2</v>
      </c>
      <c r="M38">
        <v>3</v>
      </c>
      <c r="N38">
        <f>INDEX('Points Schedule'!$H$3:$M$3, MATCH(D38, 'Points Schedule'!$H$2:$M$2, 0))</f>
        <v>40</v>
      </c>
      <c r="O38">
        <f>INDEX('Points Schedule'!$H$4:$M$4, MATCH(E38, 'Points Schedule'!$H$2:$M$2, 0))</f>
        <v>75</v>
      </c>
      <c r="P38">
        <f>INDEX('Points Schedule'!$H$5:$M$5, MATCH(F38, 'Points Schedule'!$H$2:$M$2, 0))</f>
        <v>15</v>
      </c>
      <c r="Q38">
        <f>INDEX('Points Schedule'!$H$6:$M$6, MATCH(G38, 'Points Schedule'!$H$2:$M$2, 0))</f>
        <v>75</v>
      </c>
      <c r="R38">
        <f>INDEX('Points Schedule'!$H$7:$M$7, MATCH(I38, 'Points Schedule'!$H$2:$M$2, 0))</f>
        <v>10</v>
      </c>
      <c r="S38">
        <f>INDEX('Points Schedule'!$H$8:$M$8, MATCH(J38, 'Points Schedule'!$H$2:$M$2, 0))</f>
        <v>210</v>
      </c>
      <c r="T38">
        <f>INDEX('Points Schedule'!$H$9:$M$9, MATCH(K38, 'Points Schedule'!$H$2:$M$2, 0))</f>
        <v>60</v>
      </c>
      <c r="U38">
        <f>INDEX('Points Schedule'!$H$10:$M$10, MATCH(L38, 'Points Schedule'!$H$2:$M$2, 0))</f>
        <v>80</v>
      </c>
      <c r="V38">
        <f>INDEX('Points Schedule'!$H$11:$M$11, MATCH(M38, 'Points Schedule'!$H$2:$M$2, 0))</f>
        <v>90</v>
      </c>
      <c r="W38">
        <f t="shared" si="0"/>
        <v>655</v>
      </c>
      <c r="X38" cm="1">
        <f t="array" ref="X38">INDEX(Clusters!A:A, MATCH(1, (W38&gt;=Clusters!B:B)*(W38&lt;=Clusters!C:C), 0))</f>
        <v>9</v>
      </c>
      <c r="Y38"/>
      <c r="Z38"/>
      <c r="AA38"/>
      <c r="AB38"/>
      <c r="AC38"/>
      <c r="AD38"/>
      <c r="AE38"/>
      <c r="AF38"/>
      <c r="AG38"/>
    </row>
    <row r="39" spans="1:33" s="15" customFormat="1" ht="14.5" x14ac:dyDescent="0.35">
      <c r="A39" s="18" t="s">
        <v>28</v>
      </c>
      <c r="B39" s="18" t="s">
        <v>27</v>
      </c>
      <c r="C39" s="5">
        <v>70000</v>
      </c>
      <c r="D39">
        <v>4</v>
      </c>
      <c r="E39">
        <v>5</v>
      </c>
      <c r="F39">
        <v>3</v>
      </c>
      <c r="G39">
        <v>3</v>
      </c>
      <c r="H39">
        <v>5</v>
      </c>
      <c r="I39">
        <v>1</v>
      </c>
      <c r="J39">
        <v>3</v>
      </c>
      <c r="K39">
        <v>3</v>
      </c>
      <c r="L39">
        <v>2</v>
      </c>
      <c r="M39">
        <v>3</v>
      </c>
      <c r="N39">
        <f>INDEX('Points Schedule'!$H$3:$M$3, MATCH(D39, 'Points Schedule'!$H$2:$M$2, 0))</f>
        <v>40</v>
      </c>
      <c r="O39">
        <f>INDEX('Points Schedule'!$H$4:$M$4, MATCH(E39, 'Points Schedule'!$H$2:$M$2, 0))</f>
        <v>75</v>
      </c>
      <c r="P39">
        <f>INDEX('Points Schedule'!$H$5:$M$5, MATCH(F39, 'Points Schedule'!$H$2:$M$2, 0))</f>
        <v>15</v>
      </c>
      <c r="Q39">
        <f>INDEX('Points Schedule'!$H$6:$M$6, MATCH(G39, 'Points Schedule'!$H$2:$M$2, 0))</f>
        <v>75</v>
      </c>
      <c r="R39">
        <f>INDEX('Points Schedule'!$H$7:$M$7, MATCH(I39, 'Points Schedule'!$H$2:$M$2, 0))</f>
        <v>10</v>
      </c>
      <c r="S39">
        <f>INDEX('Points Schedule'!$H$8:$M$8, MATCH(J39, 'Points Schedule'!$H$2:$M$2, 0))</f>
        <v>210</v>
      </c>
      <c r="T39">
        <f>INDEX('Points Schedule'!$H$9:$M$9, MATCH(K39, 'Points Schedule'!$H$2:$M$2, 0))</f>
        <v>60</v>
      </c>
      <c r="U39">
        <f>INDEX('Points Schedule'!$H$10:$M$10, MATCH(L39, 'Points Schedule'!$H$2:$M$2, 0))</f>
        <v>80</v>
      </c>
      <c r="V39">
        <f>INDEX('Points Schedule'!$H$11:$M$11, MATCH(M39, 'Points Schedule'!$H$2:$M$2, 0))</f>
        <v>90</v>
      </c>
      <c r="W39">
        <f t="shared" si="0"/>
        <v>655</v>
      </c>
      <c r="X39" cm="1">
        <f t="array" ref="X39">INDEX(Clusters!A:A, MATCH(1, (W39&gt;=Clusters!B:B)*(W39&lt;=Clusters!C:C), 0))</f>
        <v>9</v>
      </c>
      <c r="Y39"/>
      <c r="Z39"/>
      <c r="AA39"/>
      <c r="AB39"/>
      <c r="AC39"/>
      <c r="AD39"/>
      <c r="AE39"/>
      <c r="AF39"/>
      <c r="AG39"/>
    </row>
    <row r="40" spans="1:33" ht="14.5" x14ac:dyDescent="0.35">
      <c r="A40" s="18" t="s">
        <v>41</v>
      </c>
      <c r="B40" s="18" t="s">
        <v>20</v>
      </c>
      <c r="C40" s="5">
        <v>95151</v>
      </c>
      <c r="D40">
        <v>4</v>
      </c>
      <c r="E40">
        <v>3</v>
      </c>
      <c r="F40">
        <v>4</v>
      </c>
      <c r="G40">
        <v>3</v>
      </c>
      <c r="H40">
        <v>5</v>
      </c>
      <c r="I40">
        <v>3</v>
      </c>
      <c r="J40">
        <v>3</v>
      </c>
      <c r="K40">
        <v>4</v>
      </c>
      <c r="L40">
        <v>2</v>
      </c>
      <c r="M40">
        <v>3</v>
      </c>
      <c r="N40">
        <f>INDEX('Points Schedule'!$H$3:$M$3, MATCH(D40, 'Points Schedule'!$H$2:$M$2, 0))</f>
        <v>40</v>
      </c>
      <c r="O40">
        <f>INDEX('Points Schedule'!$H$4:$M$4, MATCH(E40, 'Points Schedule'!$H$2:$M$2, 0))</f>
        <v>45</v>
      </c>
      <c r="P40">
        <f>INDEX('Points Schedule'!$H$5:$M$5, MATCH(F40, 'Points Schedule'!$H$2:$M$2, 0))</f>
        <v>20</v>
      </c>
      <c r="Q40">
        <f>INDEX('Points Schedule'!$H$6:$M$6, MATCH(G40, 'Points Schedule'!$H$2:$M$2, 0))</f>
        <v>75</v>
      </c>
      <c r="R40">
        <f>INDEX('Points Schedule'!$H$7:$M$7, MATCH(I40, 'Points Schedule'!$H$2:$M$2, 0))</f>
        <v>30</v>
      </c>
      <c r="S40">
        <f>INDEX('Points Schedule'!$H$8:$M$8, MATCH(J40, 'Points Schedule'!$H$2:$M$2, 0))</f>
        <v>210</v>
      </c>
      <c r="T40">
        <f>INDEX('Points Schedule'!$H$9:$M$9, MATCH(K40, 'Points Schedule'!$H$2:$M$2, 0))</f>
        <v>80</v>
      </c>
      <c r="U40">
        <f>INDEX('Points Schedule'!$H$10:$M$10, MATCH(L40, 'Points Schedule'!$H$2:$M$2, 0))</f>
        <v>80</v>
      </c>
      <c r="V40">
        <f>INDEX('Points Schedule'!$H$11:$M$11, MATCH(M40, 'Points Schedule'!$H$2:$M$2, 0))</f>
        <v>90</v>
      </c>
      <c r="W40">
        <f t="shared" si="0"/>
        <v>670</v>
      </c>
      <c r="X40" cm="1">
        <f t="array" ref="X40">INDEX(Clusters!A:A, MATCH(1, (W40&gt;=Clusters!B:B)*(W40&lt;=Clusters!C:C), 0))</f>
        <v>9</v>
      </c>
    </row>
    <row r="41" spans="1:33" ht="14.5" x14ac:dyDescent="0.35">
      <c r="A41" s="18" t="s">
        <v>54</v>
      </c>
      <c r="B41" s="18" t="s">
        <v>13</v>
      </c>
      <c r="C41" s="5">
        <v>101981</v>
      </c>
      <c r="D41">
        <v>3</v>
      </c>
      <c r="E41" s="3">
        <v>3</v>
      </c>
      <c r="F41">
        <v>5</v>
      </c>
      <c r="G41">
        <v>3</v>
      </c>
      <c r="H41">
        <v>5</v>
      </c>
      <c r="I41">
        <v>3</v>
      </c>
      <c r="J41">
        <v>3</v>
      </c>
      <c r="K41">
        <v>3</v>
      </c>
      <c r="L41">
        <v>3</v>
      </c>
      <c r="M41">
        <v>3</v>
      </c>
      <c r="N41">
        <f>INDEX('Points Schedule'!$H$3:$M$3, MATCH(D41, 'Points Schedule'!$H$2:$M$2, 0))</f>
        <v>30</v>
      </c>
      <c r="O41">
        <f>INDEX('Points Schedule'!$H$4:$M$4, MATCH(E41, 'Points Schedule'!$H$2:$M$2, 0))</f>
        <v>45</v>
      </c>
      <c r="P41">
        <f>INDEX('Points Schedule'!$H$5:$M$5, MATCH(F41, 'Points Schedule'!$H$2:$M$2, 0))</f>
        <v>25</v>
      </c>
      <c r="Q41">
        <f>INDEX('Points Schedule'!$H$6:$M$6, MATCH(G41, 'Points Schedule'!$H$2:$M$2, 0))</f>
        <v>75</v>
      </c>
      <c r="R41">
        <f>INDEX('Points Schedule'!$H$7:$M$7, MATCH(I41, 'Points Schedule'!$H$2:$M$2, 0))</f>
        <v>30</v>
      </c>
      <c r="S41">
        <f>INDEX('Points Schedule'!$H$8:$M$8, MATCH(J41, 'Points Schedule'!$H$2:$M$2, 0))</f>
        <v>210</v>
      </c>
      <c r="T41">
        <f>INDEX('Points Schedule'!$H$9:$M$9, MATCH(K41, 'Points Schedule'!$H$2:$M$2, 0))</f>
        <v>60</v>
      </c>
      <c r="U41">
        <f>INDEX('Points Schedule'!$H$10:$M$10, MATCH(L41, 'Points Schedule'!$H$2:$M$2, 0))</f>
        <v>120</v>
      </c>
      <c r="V41">
        <f>INDEX('Points Schedule'!$H$11:$M$11, MATCH(M41, 'Points Schedule'!$H$2:$M$2, 0))</f>
        <v>90</v>
      </c>
      <c r="W41">
        <f t="shared" si="0"/>
        <v>685</v>
      </c>
      <c r="X41" cm="1">
        <f t="array" ref="X41">INDEX(Clusters!A:A, MATCH(1, (W41&gt;=Clusters!B:B)*(W41&lt;=Clusters!C:C), 0))</f>
        <v>9</v>
      </c>
      <c r="Y41">
        <v>150.07878787878789</v>
      </c>
      <c r="Z41" s="19">
        <f>Y41*1000</f>
        <v>150078.7878787879</v>
      </c>
    </row>
    <row r="42" spans="1:33" s="16" customFormat="1" ht="15" x14ac:dyDescent="0.35">
      <c r="A42" s="18" t="s">
        <v>9</v>
      </c>
      <c r="B42" s="18" t="s">
        <v>6</v>
      </c>
      <c r="C42" s="5">
        <v>83860</v>
      </c>
      <c r="D42">
        <v>4</v>
      </c>
      <c r="E42">
        <v>3</v>
      </c>
      <c r="F42">
        <v>5</v>
      </c>
      <c r="G42">
        <v>4</v>
      </c>
      <c r="H42">
        <v>6</v>
      </c>
      <c r="I42">
        <v>2</v>
      </c>
      <c r="J42">
        <v>4</v>
      </c>
      <c r="K42">
        <v>4</v>
      </c>
      <c r="L42">
        <v>2</v>
      </c>
      <c r="M42">
        <v>3</v>
      </c>
      <c r="N42">
        <f>INDEX('Points Schedule'!$H$3:$M$3, MATCH(D42, 'Points Schedule'!$H$2:$M$2, 0))</f>
        <v>40</v>
      </c>
      <c r="O42">
        <f>INDEX('Points Schedule'!$H$4:$M$4, MATCH(E42, 'Points Schedule'!$H$2:$M$2, 0))</f>
        <v>45</v>
      </c>
      <c r="P42">
        <f>INDEX('Points Schedule'!$H$5:$M$5, MATCH(F42, 'Points Schedule'!$H$2:$M$2, 0))</f>
        <v>25</v>
      </c>
      <c r="Q42">
        <f>INDEX('Points Schedule'!$H$6:$M$6, MATCH(G42, 'Points Schedule'!$H$2:$M$2, 0))</f>
        <v>100</v>
      </c>
      <c r="R42">
        <f>INDEX('Points Schedule'!$H$7:$M$7, MATCH(I42, 'Points Schedule'!$H$2:$M$2, 0))</f>
        <v>20</v>
      </c>
      <c r="S42">
        <f>INDEX('Points Schedule'!$H$8:$M$8, MATCH(J42, 'Points Schedule'!$H$2:$M$2, 0))</f>
        <v>280</v>
      </c>
      <c r="T42">
        <f>INDEX('Points Schedule'!$H$9:$M$9, MATCH(K42, 'Points Schedule'!$H$2:$M$2, 0))</f>
        <v>80</v>
      </c>
      <c r="U42">
        <f>INDEX('Points Schedule'!$H$10:$M$10, MATCH(L42, 'Points Schedule'!$H$2:$M$2, 0))</f>
        <v>80</v>
      </c>
      <c r="V42">
        <f>INDEX('Points Schedule'!$H$11:$M$11, MATCH(M42, 'Points Schedule'!$H$2:$M$2, 0))</f>
        <v>90</v>
      </c>
      <c r="W42">
        <f t="shared" si="0"/>
        <v>760</v>
      </c>
      <c r="X42" cm="1">
        <f t="array" ref="X42">INDEX(Clusters!A:A, MATCH(1, (W42&gt;=Clusters!B:B)*(W42&lt;=Clusters!C:C), 0))</f>
        <v>9</v>
      </c>
      <c r="Y42" s="61"/>
      <c r="Z42" s="62"/>
      <c r="AA42"/>
      <c r="AB42"/>
      <c r="AC42"/>
      <c r="AD42"/>
      <c r="AE42"/>
      <c r="AF42"/>
      <c r="AG42"/>
    </row>
    <row r="43" spans="1:33" s="15" customFormat="1" ht="14.5" x14ac:dyDescent="0.35">
      <c r="A43" s="18" t="s">
        <v>24</v>
      </c>
      <c r="B43" s="18" t="s">
        <v>27</v>
      </c>
      <c r="C43" s="5">
        <v>114302</v>
      </c>
      <c r="D43">
        <v>4</v>
      </c>
      <c r="E43">
        <v>5</v>
      </c>
      <c r="F43">
        <v>5</v>
      </c>
      <c r="G43">
        <v>4</v>
      </c>
      <c r="H43">
        <v>6</v>
      </c>
      <c r="I43">
        <v>1</v>
      </c>
      <c r="J43">
        <v>4</v>
      </c>
      <c r="K43">
        <v>4</v>
      </c>
      <c r="L43">
        <v>2</v>
      </c>
      <c r="M43">
        <v>4</v>
      </c>
      <c r="N43">
        <f>INDEX('Points Schedule'!$H$3:$M$3, MATCH(D43, 'Points Schedule'!$H$2:$M$2, 0))</f>
        <v>40</v>
      </c>
      <c r="O43">
        <f>INDEX('Points Schedule'!$H$4:$M$4, MATCH(E43, 'Points Schedule'!$H$2:$M$2, 0))</f>
        <v>75</v>
      </c>
      <c r="P43">
        <f>INDEX('Points Schedule'!$H$5:$M$5, MATCH(F43, 'Points Schedule'!$H$2:$M$2, 0))</f>
        <v>25</v>
      </c>
      <c r="Q43">
        <f>INDEX('Points Schedule'!$H$6:$M$6, MATCH(G43, 'Points Schedule'!$H$2:$M$2, 0))</f>
        <v>100</v>
      </c>
      <c r="R43">
        <f>INDEX('Points Schedule'!$H$7:$M$7, MATCH(I43, 'Points Schedule'!$H$2:$M$2, 0))</f>
        <v>10</v>
      </c>
      <c r="S43">
        <f>INDEX('Points Schedule'!$H$8:$M$8, MATCH(J43, 'Points Schedule'!$H$2:$M$2, 0))</f>
        <v>280</v>
      </c>
      <c r="T43">
        <f>INDEX('Points Schedule'!$H$9:$M$9, MATCH(K43, 'Points Schedule'!$H$2:$M$2, 0))</f>
        <v>80</v>
      </c>
      <c r="U43">
        <f>INDEX('Points Schedule'!$H$10:$M$10, MATCH(L43, 'Points Schedule'!$H$2:$M$2, 0))</f>
        <v>80</v>
      </c>
      <c r="V43">
        <f>INDEX('Points Schedule'!$H$11:$M$11, MATCH(M43, 'Points Schedule'!$H$2:$M$2, 0))</f>
        <v>120</v>
      </c>
      <c r="W43">
        <f t="shared" si="0"/>
        <v>810</v>
      </c>
      <c r="X43" cm="1">
        <f t="array" ref="X43">INDEX(Clusters!A:A, MATCH(1, (W43&gt;=Clusters!B:B)*(W43&lt;=Clusters!C:C), 0))</f>
        <v>10</v>
      </c>
      <c r="Y43"/>
      <c r="Z43"/>
      <c r="AA43"/>
      <c r="AB43"/>
      <c r="AC43"/>
      <c r="AD43"/>
      <c r="AE43"/>
      <c r="AF43"/>
      <c r="AG43"/>
    </row>
    <row r="44" spans="1:33" ht="14.5" x14ac:dyDescent="0.35">
      <c r="A44" s="18" t="s">
        <v>19</v>
      </c>
      <c r="B44" s="18" t="s">
        <v>15</v>
      </c>
      <c r="C44" s="5">
        <v>118571</v>
      </c>
      <c r="D44">
        <v>4</v>
      </c>
      <c r="E44">
        <v>5</v>
      </c>
      <c r="F44">
        <v>5</v>
      </c>
      <c r="G44">
        <v>4</v>
      </c>
      <c r="H44">
        <v>6</v>
      </c>
      <c r="I44">
        <v>3</v>
      </c>
      <c r="J44">
        <v>4</v>
      </c>
      <c r="K44">
        <v>5</v>
      </c>
      <c r="L44">
        <v>2</v>
      </c>
      <c r="M44">
        <v>3</v>
      </c>
      <c r="N44">
        <f>INDEX('Points Schedule'!$H$3:$M$3, MATCH(D44, 'Points Schedule'!$H$2:$M$2, 0))</f>
        <v>40</v>
      </c>
      <c r="O44">
        <f>INDEX('Points Schedule'!$H$4:$M$4, MATCH(E44, 'Points Schedule'!$H$2:$M$2, 0))</f>
        <v>75</v>
      </c>
      <c r="P44">
        <f>INDEX('Points Schedule'!$H$5:$M$5, MATCH(F44, 'Points Schedule'!$H$2:$M$2, 0))</f>
        <v>25</v>
      </c>
      <c r="Q44">
        <f>INDEX('Points Schedule'!$H$6:$M$6, MATCH(G44, 'Points Schedule'!$H$2:$M$2, 0))</f>
        <v>100</v>
      </c>
      <c r="R44">
        <f>INDEX('Points Schedule'!$H$7:$M$7, MATCH(I44, 'Points Schedule'!$H$2:$M$2, 0))</f>
        <v>30</v>
      </c>
      <c r="S44">
        <f>INDEX('Points Schedule'!$H$8:$M$8, MATCH(J44, 'Points Schedule'!$H$2:$M$2, 0))</f>
        <v>280</v>
      </c>
      <c r="T44">
        <f>INDEX('Points Schedule'!$H$9:$M$9, MATCH(K44, 'Points Schedule'!$H$2:$M$2, 0))</f>
        <v>100</v>
      </c>
      <c r="U44">
        <f>INDEX('Points Schedule'!$H$10:$M$10, MATCH(L44, 'Points Schedule'!$H$2:$M$2, 0))</f>
        <v>80</v>
      </c>
      <c r="V44">
        <f>INDEX('Points Schedule'!$H$11:$M$11, MATCH(M44, 'Points Schedule'!$H$2:$M$2, 0))</f>
        <v>90</v>
      </c>
      <c r="W44">
        <f t="shared" si="0"/>
        <v>820</v>
      </c>
      <c r="X44" cm="1">
        <f t="array" ref="X44">INDEX(Clusters!A:A, MATCH(1, (W44&gt;=Clusters!B:B)*(W44&lt;=Clusters!C:C), 0))</f>
        <v>10</v>
      </c>
      <c r="Y44">
        <v>178.07500000000002</v>
      </c>
      <c r="Z44" s="19">
        <f>Y44*1000</f>
        <v>178075.00000000003</v>
      </c>
    </row>
    <row r="45" spans="1:33" ht="14.5" x14ac:dyDescent="0.35">
      <c r="A45" s="18" t="s">
        <v>22</v>
      </c>
      <c r="B45" s="18" t="s">
        <v>20</v>
      </c>
      <c r="C45" s="5">
        <v>126947</v>
      </c>
      <c r="D45">
        <v>4</v>
      </c>
      <c r="E45">
        <v>4</v>
      </c>
      <c r="F45">
        <v>5</v>
      </c>
      <c r="G45">
        <v>4</v>
      </c>
      <c r="H45">
        <v>6</v>
      </c>
      <c r="I45">
        <v>3</v>
      </c>
      <c r="J45">
        <v>4</v>
      </c>
      <c r="K45">
        <v>5</v>
      </c>
      <c r="L45">
        <v>2</v>
      </c>
      <c r="M45">
        <v>4</v>
      </c>
      <c r="N45">
        <f>INDEX('Points Schedule'!$H$3:$M$3, MATCH(D45, 'Points Schedule'!$H$2:$M$2, 0))</f>
        <v>40</v>
      </c>
      <c r="O45">
        <f>INDEX('Points Schedule'!$H$4:$M$4, MATCH(E45, 'Points Schedule'!$H$2:$M$2, 0))</f>
        <v>60</v>
      </c>
      <c r="P45">
        <f>INDEX('Points Schedule'!$H$5:$M$5, MATCH(F45, 'Points Schedule'!$H$2:$M$2, 0))</f>
        <v>25</v>
      </c>
      <c r="Q45">
        <f>INDEX('Points Schedule'!$H$6:$M$6, MATCH(G45, 'Points Schedule'!$H$2:$M$2, 0))</f>
        <v>100</v>
      </c>
      <c r="R45">
        <f>INDEX('Points Schedule'!$H$7:$M$7, MATCH(I45, 'Points Schedule'!$H$2:$M$2, 0))</f>
        <v>30</v>
      </c>
      <c r="S45">
        <f>INDEX('Points Schedule'!$H$8:$M$8, MATCH(J45, 'Points Schedule'!$H$2:$M$2, 0))</f>
        <v>280</v>
      </c>
      <c r="T45">
        <f>INDEX('Points Schedule'!$H$9:$M$9, MATCH(K45, 'Points Schedule'!$H$2:$M$2, 0))</f>
        <v>100</v>
      </c>
      <c r="U45">
        <f>INDEX('Points Schedule'!$H$10:$M$10, MATCH(L45, 'Points Schedule'!$H$2:$M$2, 0))</f>
        <v>80</v>
      </c>
      <c r="V45">
        <f>INDEX('Points Schedule'!$H$11:$M$11, MATCH(M45, 'Points Schedule'!$H$2:$M$2, 0))</f>
        <v>120</v>
      </c>
      <c r="W45">
        <f t="shared" si="0"/>
        <v>835</v>
      </c>
      <c r="X45" cm="1">
        <f t="array" ref="X45">INDEX(Clusters!A:A, MATCH(1, (W45&gt;=Clusters!B:B)*(W45&lt;=Clusters!C:C), 0))</f>
        <v>10</v>
      </c>
    </row>
    <row r="46" spans="1:33" ht="14.5" x14ac:dyDescent="0.35">
      <c r="A46" s="18" t="s">
        <v>50</v>
      </c>
      <c r="B46" s="18" t="s">
        <v>12</v>
      </c>
      <c r="C46" s="5">
        <v>171619</v>
      </c>
      <c r="D46">
        <v>4</v>
      </c>
      <c r="E46" s="3">
        <v>6</v>
      </c>
      <c r="F46">
        <v>6</v>
      </c>
      <c r="G46">
        <v>5</v>
      </c>
      <c r="H46">
        <v>6</v>
      </c>
      <c r="I46">
        <v>4</v>
      </c>
      <c r="J46">
        <v>4</v>
      </c>
      <c r="K46">
        <v>5</v>
      </c>
      <c r="L46">
        <v>4</v>
      </c>
      <c r="M46">
        <v>4</v>
      </c>
      <c r="N46">
        <f>INDEX('Points Schedule'!$H$3:$M$3, MATCH(D46, 'Points Schedule'!$H$2:$M$2, 0))</f>
        <v>40</v>
      </c>
      <c r="O46">
        <f>INDEX('Points Schedule'!$H$4:$M$4, MATCH(E46, 'Points Schedule'!$H$2:$M$2, 0))</f>
        <v>90</v>
      </c>
      <c r="P46">
        <f>INDEX('Points Schedule'!$H$5:$M$5, MATCH(F46, 'Points Schedule'!$H$2:$M$2, 0))</f>
        <v>30</v>
      </c>
      <c r="Q46">
        <f>INDEX('Points Schedule'!$H$6:$M$6, MATCH(G46, 'Points Schedule'!$H$2:$M$2, 0))</f>
        <v>125</v>
      </c>
      <c r="R46">
        <f>INDEX('Points Schedule'!$H$7:$M$7, MATCH(I46, 'Points Schedule'!$H$2:$M$2, 0))</f>
        <v>40</v>
      </c>
      <c r="S46">
        <f>INDEX('Points Schedule'!$H$8:$M$8, MATCH(J46, 'Points Schedule'!$H$2:$M$2, 0))</f>
        <v>280</v>
      </c>
      <c r="T46">
        <f>INDEX('Points Schedule'!$H$9:$M$9, MATCH(K46, 'Points Schedule'!$H$2:$M$2, 0))</f>
        <v>100</v>
      </c>
      <c r="U46">
        <f>INDEX('Points Schedule'!$H$10:$M$10, MATCH(L46, 'Points Schedule'!$H$2:$M$2, 0))</f>
        <v>160</v>
      </c>
      <c r="V46">
        <f>INDEX('Points Schedule'!$H$11:$M$11, MATCH(M46, 'Points Schedule'!$H$2:$M$2, 0))</f>
        <v>120</v>
      </c>
      <c r="W46">
        <f t="shared" si="0"/>
        <v>985</v>
      </c>
      <c r="X46" cm="1">
        <f t="array" ref="X46">INDEX(Clusters!A:A, MATCH(1, (W46&gt;=Clusters!B:B)*(W46&lt;=Clusters!C:C), 0))</f>
        <v>11</v>
      </c>
      <c r="Y46">
        <v>265.65483870967745</v>
      </c>
      <c r="Z46" s="19">
        <f>Y46*1000</f>
        <v>265654.83870967745</v>
      </c>
    </row>
    <row r="47" spans="1:33" x14ac:dyDescent="0.3">
      <c r="C47" s="5"/>
    </row>
    <row r="48" spans="1:33" x14ac:dyDescent="0.3">
      <c r="C48" s="5"/>
    </row>
    <row r="49" spans="3:3" x14ac:dyDescent="0.3">
      <c r="C49" s="5"/>
    </row>
  </sheetData>
  <sortState xmlns:xlrd2="http://schemas.microsoft.com/office/spreadsheetml/2017/richdata2" ref="A3:Z46">
    <sortCondition ref="W3:W46"/>
  </sortState>
  <mergeCells count="2">
    <mergeCell ref="D1:F1"/>
    <mergeCell ref="G1:K1"/>
  </mergeCells>
  <pageMargins left="0.75" right="0.75" top="1" bottom="1" header="0.5" footer="0.5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9147-1E94-492A-9F7A-2E314485D49B}">
  <dimension ref="A1:F46"/>
  <sheetViews>
    <sheetView workbookViewId="0">
      <selection activeCell="A48" sqref="A48"/>
    </sheetView>
  </sheetViews>
  <sheetFormatPr defaultRowHeight="13.5" x14ac:dyDescent="0.3"/>
  <cols>
    <col min="1" max="1" width="41.15234375" customWidth="1"/>
    <col min="2" max="2" width="22.84375" customWidth="1"/>
    <col min="4" max="4" width="12.23046875" customWidth="1"/>
    <col min="6" max="6" width="11.3828125" bestFit="1" customWidth="1"/>
  </cols>
  <sheetData>
    <row r="1" spans="1:6" ht="14.5" x14ac:dyDescent="0.35">
      <c r="A1" s="1" t="s">
        <v>45</v>
      </c>
      <c r="B1" s="1" t="s">
        <v>30</v>
      </c>
      <c r="C1" s="1" t="s">
        <v>62</v>
      </c>
      <c r="D1" s="22" t="s">
        <v>110</v>
      </c>
      <c r="E1" s="22" t="s">
        <v>112</v>
      </c>
      <c r="F1" s="11" t="s">
        <v>117</v>
      </c>
    </row>
    <row r="2" spans="1:6" ht="14.5" x14ac:dyDescent="0.35">
      <c r="A2" s="18" t="str">
        <f>Data!A4</f>
        <v>Receptionist</v>
      </c>
      <c r="B2" s="18" t="str">
        <f>Data!B4</f>
        <v>Ops</v>
      </c>
      <c r="C2" s="5">
        <f>Data!C4</f>
        <v>44526</v>
      </c>
      <c r="D2">
        <f>Data!W4</f>
        <v>260</v>
      </c>
      <c r="E2">
        <f>Data!X4</f>
        <v>2</v>
      </c>
      <c r="F2" s="19">
        <f>Data!Z4</f>
        <v>35287.900355871883</v>
      </c>
    </row>
    <row r="3" spans="1:6" ht="14.5" x14ac:dyDescent="0.35">
      <c r="A3" s="18" t="str">
        <f>Data!A3</f>
        <v xml:space="preserve">Administrative Clerk </v>
      </c>
      <c r="B3" s="18" t="str">
        <f>Data!B3</f>
        <v>Quality Assurance</v>
      </c>
      <c r="C3" s="5">
        <f>Data!C3</f>
        <v>36260</v>
      </c>
      <c r="D3">
        <f>Data!W3</f>
        <v>255</v>
      </c>
      <c r="E3">
        <f>Data!X3</f>
        <v>1</v>
      </c>
      <c r="F3" s="19">
        <f>Data!Z3</f>
        <v>38372.611464968155</v>
      </c>
    </row>
    <row r="4" spans="1:6" ht="14.5" x14ac:dyDescent="0.35">
      <c r="A4" s="18" t="str">
        <f>Data!A5</f>
        <v xml:space="preserve">Administrative Clerk </v>
      </c>
      <c r="B4" s="18" t="str">
        <f>Data!B5</f>
        <v>Ops</v>
      </c>
      <c r="C4" s="5">
        <f>Data!C5</f>
        <v>36113</v>
      </c>
      <c r="D4">
        <f>Data!W5</f>
        <v>265</v>
      </c>
      <c r="E4">
        <f>Data!X5</f>
        <v>2</v>
      </c>
      <c r="F4" s="19">
        <f>Data!Z5</f>
        <v>38372.611464968155</v>
      </c>
    </row>
    <row r="5" spans="1:6" ht="14.5" x14ac:dyDescent="0.35">
      <c r="A5" s="18" t="str">
        <f>Data!A6</f>
        <v xml:space="preserve">Administrative Clerk </v>
      </c>
      <c r="B5" s="18" t="str">
        <f>Data!B6</f>
        <v>Ops</v>
      </c>
      <c r="C5" s="5">
        <f>Data!C6</f>
        <v>32008</v>
      </c>
      <c r="D5">
        <f>Data!W6</f>
        <v>265</v>
      </c>
      <c r="E5">
        <f>Data!X6</f>
        <v>2</v>
      </c>
      <c r="F5" s="19">
        <f>Data!Z6</f>
        <v>38372.611464968155</v>
      </c>
    </row>
    <row r="6" spans="1:6" ht="14.5" x14ac:dyDescent="0.35">
      <c r="A6" s="18" t="str">
        <f>Data!A16</f>
        <v>Administrative Clerk/mailroom clerk</v>
      </c>
      <c r="B6" s="18" t="str">
        <f>Data!B16</f>
        <v>Ops</v>
      </c>
      <c r="C6" s="5">
        <f>Data!C16</f>
        <v>40429</v>
      </c>
      <c r="D6">
        <f>Data!W16</f>
        <v>310</v>
      </c>
      <c r="E6">
        <f>Data!X16</f>
        <v>4</v>
      </c>
      <c r="F6" s="19">
        <f>Data!Z16</f>
        <v>39200.92592592592</v>
      </c>
    </row>
    <row r="7" spans="1:6" ht="14.5" x14ac:dyDescent="0.35">
      <c r="A7" s="18" t="str">
        <f>Data!A14</f>
        <v>Junior Accountant</v>
      </c>
      <c r="B7" s="18" t="str">
        <f>Data!B14</f>
        <v>Ops</v>
      </c>
      <c r="C7" s="5">
        <f>Data!C14</f>
        <v>32810</v>
      </c>
      <c r="D7">
        <f>Data!W14</f>
        <v>295</v>
      </c>
      <c r="E7">
        <f>Data!X14</f>
        <v>4</v>
      </c>
      <c r="F7" s="19">
        <f>Data!Z14</f>
        <v>44119.736842105252</v>
      </c>
    </row>
    <row r="8" spans="1:6" ht="14.5" x14ac:dyDescent="0.35">
      <c r="A8" s="18" t="str">
        <f>Data!A11</f>
        <v>Secretary (Director Continuing Education)</v>
      </c>
      <c r="B8" s="18" t="str">
        <f>Data!B11</f>
        <v>Continuing Education</v>
      </c>
      <c r="C8" s="5">
        <f>Data!C11</f>
        <v>43898</v>
      </c>
      <c r="D8">
        <f>Data!W11</f>
        <v>285</v>
      </c>
      <c r="E8">
        <f>Data!X11</f>
        <v>3</v>
      </c>
      <c r="F8" s="19">
        <f>Data!Z11</f>
        <v>47838.275862068971</v>
      </c>
    </row>
    <row r="9" spans="1:6" ht="14.5" x14ac:dyDescent="0.35">
      <c r="A9" s="18" t="str">
        <f>Data!A21</f>
        <v>Secretary (Director Operations)</v>
      </c>
      <c r="B9" s="18" t="str">
        <f>Data!B21</f>
        <v>Ops</v>
      </c>
      <c r="C9" s="5">
        <f>Data!C21</f>
        <v>49508</v>
      </c>
      <c r="D9">
        <f>Data!W21</f>
        <v>350</v>
      </c>
      <c r="E9">
        <f>Data!X21</f>
        <v>5</v>
      </c>
      <c r="F9" s="19">
        <f>Data!Z21</f>
        <v>47838.275862068971</v>
      </c>
    </row>
    <row r="10" spans="1:6" ht="14.5" x14ac:dyDescent="0.35">
      <c r="A10" s="18" t="str">
        <f>Data!A31</f>
        <v>Marketing Coordinator</v>
      </c>
      <c r="B10" s="18" t="str">
        <f>Data!B31</f>
        <v>Marketing</v>
      </c>
      <c r="C10" s="5">
        <f>Data!C31</f>
        <v>47375</v>
      </c>
      <c r="D10">
        <f>Data!W31</f>
        <v>465</v>
      </c>
      <c r="E10">
        <f>Data!X31</f>
        <v>7</v>
      </c>
      <c r="F10" s="19">
        <f>Data!Z31</f>
        <v>47849.333333333343</v>
      </c>
    </row>
    <row r="11" spans="1:6" ht="14.5" x14ac:dyDescent="0.35">
      <c r="A11" s="18" t="str">
        <f>Data!A7</f>
        <v>Meetings and District Programs Coordinator</v>
      </c>
      <c r="B11" s="18" t="str">
        <f>Data!B7</f>
        <v>Continuing Education</v>
      </c>
      <c r="C11" s="5">
        <f>Data!C7</f>
        <v>42908</v>
      </c>
      <c r="D11">
        <f>Data!W7</f>
        <v>280</v>
      </c>
      <c r="E11">
        <f>Data!X7</f>
        <v>3</v>
      </c>
      <c r="F11" s="19">
        <f>Data!Z7</f>
        <v>50257.142857142855</v>
      </c>
    </row>
    <row r="12" spans="1:6" ht="14.5" x14ac:dyDescent="0.35">
      <c r="A12" s="18" t="str">
        <f>Data!A9</f>
        <v>Seminar Coordinator</v>
      </c>
      <c r="B12" s="18" t="str">
        <f>Data!B9</f>
        <v>Continuing Education</v>
      </c>
      <c r="C12" s="5">
        <f>Data!C9</f>
        <v>38513</v>
      </c>
      <c r="D12">
        <f>Data!W9</f>
        <v>280</v>
      </c>
      <c r="E12">
        <f>Data!X9</f>
        <v>3</v>
      </c>
      <c r="F12" s="19">
        <f>Data!Z9</f>
        <v>50257.142857142855</v>
      </c>
    </row>
    <row r="13" spans="1:6" ht="14.5" x14ac:dyDescent="0.35">
      <c r="A13" s="18" t="str">
        <f>Data!A10</f>
        <v>Seminar Coordinator</v>
      </c>
      <c r="B13" s="18" t="str">
        <f>Data!B10</f>
        <v>Continuing Education</v>
      </c>
      <c r="C13" s="5">
        <f>Data!C10</f>
        <v>37370</v>
      </c>
      <c r="D13">
        <f>Data!W10</f>
        <v>280</v>
      </c>
      <c r="E13">
        <f>Data!X10</f>
        <v>3</v>
      </c>
      <c r="F13" s="19">
        <f>Data!Z10</f>
        <v>50257.142857142855</v>
      </c>
    </row>
    <row r="14" spans="1:6" ht="14.5" x14ac:dyDescent="0.35">
      <c r="A14" s="18" t="str">
        <f>Data!A17</f>
        <v>Accountant</v>
      </c>
      <c r="B14" s="18" t="str">
        <f>Data!B17</f>
        <v>Ops</v>
      </c>
      <c r="C14" s="5">
        <f>Data!C17</f>
        <v>41530</v>
      </c>
      <c r="D14">
        <f>Data!W17</f>
        <v>330</v>
      </c>
      <c r="E14">
        <f>Data!X17</f>
        <v>5</v>
      </c>
      <c r="F14" s="19">
        <f>Data!Z17</f>
        <v>53229.842931937172</v>
      </c>
    </row>
    <row r="15" spans="1:6" ht="14.5" x14ac:dyDescent="0.35">
      <c r="A15" s="18" t="str">
        <f>Data!A13</f>
        <v>Administrative Assistant, Exec Office</v>
      </c>
      <c r="B15" s="18" t="str">
        <f>Data!B13</f>
        <v>Exec</v>
      </c>
      <c r="C15" s="5">
        <f>Data!C13</f>
        <v>37258</v>
      </c>
      <c r="D15">
        <f>Data!W13</f>
        <v>290</v>
      </c>
      <c r="E15">
        <f>Data!X13</f>
        <v>4</v>
      </c>
      <c r="F15" s="19">
        <f>Data!Z13</f>
        <v>55492.469879518074</v>
      </c>
    </row>
    <row r="16" spans="1:6" ht="14.5" x14ac:dyDescent="0.35">
      <c r="A16" s="18" t="str">
        <f>Data!A28</f>
        <v>Communications Specialist</v>
      </c>
      <c r="B16" s="18" t="str">
        <f>Data!B28</f>
        <v>Marketing</v>
      </c>
      <c r="C16" s="5">
        <f>Data!C28</f>
        <v>67040</v>
      </c>
      <c r="D16">
        <f>Data!W28</f>
        <v>395</v>
      </c>
      <c r="E16">
        <f>Data!X28</f>
        <v>6</v>
      </c>
      <c r="F16" s="19">
        <f>Data!Z28</f>
        <v>57876.923076923078</v>
      </c>
    </row>
    <row r="17" spans="1:6" ht="14.5" x14ac:dyDescent="0.35">
      <c r="A17" s="18" t="str">
        <f>Data!A29</f>
        <v>Senior Accountant</v>
      </c>
      <c r="B17" s="18" t="str">
        <f>Data!B29</f>
        <v>Ops</v>
      </c>
      <c r="C17" s="5">
        <f>Data!C29</f>
        <v>51082</v>
      </c>
      <c r="D17">
        <f>Data!W29</f>
        <v>410</v>
      </c>
      <c r="E17">
        <f>Data!X29</f>
        <v>6</v>
      </c>
      <c r="F17" s="19">
        <f>Data!Z29</f>
        <v>68414.634146341457</v>
      </c>
    </row>
    <row r="18" spans="1:6" ht="14.5" x14ac:dyDescent="0.35">
      <c r="A18" s="18" t="str">
        <f>Data!A33</f>
        <v>Manager Conferences and Event Planning</v>
      </c>
      <c r="B18" s="18" t="str">
        <f>Data!B33</f>
        <v>Continuing Education</v>
      </c>
      <c r="C18" s="5">
        <f>Data!C33</f>
        <v>72180</v>
      </c>
      <c r="D18">
        <f>Data!W33</f>
        <v>525</v>
      </c>
      <c r="E18">
        <f>Data!X33</f>
        <v>8</v>
      </c>
      <c r="F18" s="19">
        <f>Data!Z33</f>
        <v>69642.857142857145</v>
      </c>
    </row>
    <row r="19" spans="1:6" ht="14.5" x14ac:dyDescent="0.35">
      <c r="A19" s="18" t="str">
        <f>Data!A30</f>
        <v>Coordinator, Audit and Assurance</v>
      </c>
      <c r="B19" s="18" t="str">
        <f>Data!B30</f>
        <v>Quality Assurance</v>
      </c>
      <c r="C19" s="5">
        <f>Data!C30</f>
        <v>64755</v>
      </c>
      <c r="D19">
        <f>Data!W30</f>
        <v>425</v>
      </c>
      <c r="E19">
        <f>Data!X30</f>
        <v>7</v>
      </c>
      <c r="F19" s="19">
        <f>Data!Z30</f>
        <v>70516.216216216213</v>
      </c>
    </row>
    <row r="20" spans="1:6" ht="14.5" x14ac:dyDescent="0.35">
      <c r="A20" s="18" t="str">
        <f>Data!A36</f>
        <v>Manager Finance and Administration</v>
      </c>
      <c r="B20" s="18" t="str">
        <f>Data!B36</f>
        <v>Ops</v>
      </c>
      <c r="C20" s="5">
        <f>Data!C36</f>
        <v>69733</v>
      </c>
      <c r="D20">
        <f>Data!W36</f>
        <v>565</v>
      </c>
      <c r="E20">
        <f>Data!X36</f>
        <v>8</v>
      </c>
      <c r="F20" s="19">
        <f>Data!Z36</f>
        <v>85162.369337979108</v>
      </c>
    </row>
    <row r="21" spans="1:6" ht="14.5" x14ac:dyDescent="0.35">
      <c r="A21" s="18" t="str">
        <f>Data!A41</f>
        <v>Director, IT</v>
      </c>
      <c r="B21" s="18" t="str">
        <f>Data!B41</f>
        <v>IT</v>
      </c>
      <c r="C21" s="5">
        <f>Data!C41</f>
        <v>101981</v>
      </c>
      <c r="D21">
        <f>Data!W41</f>
        <v>685</v>
      </c>
      <c r="E21">
        <f>Data!X41</f>
        <v>9</v>
      </c>
      <c r="F21" s="19">
        <f>Data!Z41</f>
        <v>150078.7878787879</v>
      </c>
    </row>
    <row r="22" spans="1:6" ht="14.5" x14ac:dyDescent="0.35">
      <c r="A22" s="18" t="str">
        <f>Data!A44</f>
        <v>Director, Marketing and Communications</v>
      </c>
      <c r="B22" s="18" t="str">
        <f>Data!B44</f>
        <v>Marketing</v>
      </c>
      <c r="C22" s="5">
        <f>Data!C44</f>
        <v>118571</v>
      </c>
      <c r="D22">
        <f>Data!W44</f>
        <v>820</v>
      </c>
      <c r="E22">
        <f>Data!X44</f>
        <v>10</v>
      </c>
      <c r="F22" s="19">
        <f>Data!Z44</f>
        <v>178075.00000000003</v>
      </c>
    </row>
    <row r="23" spans="1:6" ht="14.5" x14ac:dyDescent="0.35">
      <c r="A23" s="18" t="str">
        <f>Data!A46</f>
        <v>Executive Director</v>
      </c>
      <c r="B23" s="18" t="str">
        <f>Data!B46</f>
        <v>Exec</v>
      </c>
      <c r="C23" s="5">
        <f>Data!C46</f>
        <v>171619</v>
      </c>
      <c r="D23">
        <f>Data!W46</f>
        <v>985</v>
      </c>
      <c r="E23">
        <f>Data!X46</f>
        <v>11</v>
      </c>
      <c r="F23" s="19">
        <f>Data!Z46</f>
        <v>265654.83870967745</v>
      </c>
    </row>
    <row r="24" spans="1:6" ht="14.5" x14ac:dyDescent="0.35">
      <c r="A24" s="18" t="str">
        <f>Data!A8</f>
        <v>Circulation Technician &amp; Receptionist</v>
      </c>
      <c r="B24" s="18" t="str">
        <f>Data!B8</f>
        <v>Ops</v>
      </c>
      <c r="C24" s="5">
        <f>Data!C8</f>
        <v>46481</v>
      </c>
      <c r="D24">
        <f>Data!W8</f>
        <v>280</v>
      </c>
      <c r="E24">
        <f>Data!X8</f>
        <v>3</v>
      </c>
      <c r="F24" s="19"/>
    </row>
    <row r="25" spans="1:6" ht="14.5" x14ac:dyDescent="0.35">
      <c r="A25" s="18" t="str">
        <f>Data!A12</f>
        <v>Junior Systems Administrator</v>
      </c>
      <c r="B25" s="18" t="str">
        <f>Data!B12</f>
        <v>IT</v>
      </c>
      <c r="C25" s="5">
        <f>Data!C12</f>
        <v>41500</v>
      </c>
      <c r="D25">
        <f>Data!W12</f>
        <v>290</v>
      </c>
      <c r="E25">
        <f>Data!X12</f>
        <v>4</v>
      </c>
      <c r="F25" s="19"/>
    </row>
    <row r="26" spans="1:6" ht="14.5" x14ac:dyDescent="0.35">
      <c r="A26" s="18" t="str">
        <f>Data!A15</f>
        <v>Business Research Coordinator</v>
      </c>
      <c r="B26" s="18" t="str">
        <f>Data!B15</f>
        <v>Ops</v>
      </c>
      <c r="C26" s="5">
        <f>Data!C15</f>
        <v>58000</v>
      </c>
      <c r="D26">
        <f>Data!W15</f>
        <v>295</v>
      </c>
      <c r="E26">
        <f>Data!X15</f>
        <v>4</v>
      </c>
      <c r="F26" s="19"/>
    </row>
    <row r="27" spans="1:6" ht="14.5" x14ac:dyDescent="0.35">
      <c r="A27" s="18" t="str">
        <f>Data!A18</f>
        <v>Programmer</v>
      </c>
      <c r="B27" s="18" t="str">
        <f>Data!B18</f>
        <v>IT</v>
      </c>
      <c r="C27" s="5">
        <f>Data!C18</f>
        <v>77289</v>
      </c>
      <c r="D27">
        <f>Data!W18</f>
        <v>335</v>
      </c>
      <c r="E27">
        <f>Data!X18</f>
        <v>5</v>
      </c>
      <c r="F27" s="19"/>
    </row>
    <row r="28" spans="1:6" ht="14.5" x14ac:dyDescent="0.35">
      <c r="A28" s="18" t="str">
        <f>Data!A19</f>
        <v>Career Consultant</v>
      </c>
      <c r="B28" s="18" t="str">
        <f>Data!B19</f>
        <v>Ops</v>
      </c>
      <c r="C28" s="5">
        <f>Data!C19</f>
        <v>68700</v>
      </c>
      <c r="D28">
        <f>Data!W19</f>
        <v>340</v>
      </c>
      <c r="E28">
        <f>Data!X19</f>
        <v>5</v>
      </c>
      <c r="F28" s="19"/>
    </row>
    <row r="29" spans="1:6" ht="14.5" x14ac:dyDescent="0.35">
      <c r="A29" s="18" t="str">
        <f>Data!A20</f>
        <v>Associate Coordinator, Professional Programs</v>
      </c>
      <c r="B29" s="18" t="str">
        <f>Data!B20</f>
        <v>Continuing Education</v>
      </c>
      <c r="C29" s="5">
        <f>Data!C20</f>
        <v>39104</v>
      </c>
      <c r="D29">
        <f>Data!W20</f>
        <v>345</v>
      </c>
      <c r="E29">
        <f>Data!X20</f>
        <v>5</v>
      </c>
      <c r="F29" s="19"/>
    </row>
    <row r="30" spans="1:6" ht="14.5" x14ac:dyDescent="0.35">
      <c r="A30" s="18" t="str">
        <f>Data!A22</f>
        <v>Business Analyst</v>
      </c>
      <c r="B30" s="18" t="str">
        <f>Data!B22</f>
        <v>Ops</v>
      </c>
      <c r="C30" s="5">
        <f>Data!C22</f>
        <v>63348</v>
      </c>
      <c r="D30">
        <f>Data!W22</f>
        <v>350</v>
      </c>
      <c r="E30">
        <f>Data!X22</f>
        <v>5</v>
      </c>
      <c r="F30" s="19"/>
    </row>
    <row r="31" spans="1:6" ht="14.5" x14ac:dyDescent="0.35">
      <c r="A31" s="18" t="str">
        <f>Data!A23</f>
        <v>Peer Review Administrator, Audit</v>
      </c>
      <c r="B31" s="18" t="str">
        <f>Data!B23</f>
        <v>Quality Assurance</v>
      </c>
      <c r="C31" s="5">
        <f>Data!C23</f>
        <v>56000</v>
      </c>
      <c r="D31">
        <f>Data!W23</f>
        <v>355</v>
      </c>
      <c r="E31">
        <f>Data!X23</f>
        <v>5</v>
      </c>
      <c r="F31" s="19"/>
    </row>
    <row r="32" spans="1:6" ht="14.5" x14ac:dyDescent="0.35">
      <c r="A32" s="18" t="str">
        <f>Data!A24</f>
        <v>Peer Review Administrator, Audit</v>
      </c>
      <c r="B32" s="18" t="str">
        <f>Data!B24</f>
        <v>Quality Assurance</v>
      </c>
      <c r="C32" s="5">
        <f>Data!C24</f>
        <v>54390</v>
      </c>
      <c r="D32">
        <f>Data!W24</f>
        <v>355</v>
      </c>
      <c r="E32">
        <f>Data!X24</f>
        <v>5</v>
      </c>
      <c r="F32" s="19"/>
    </row>
    <row r="33" spans="1:6" ht="14.5" x14ac:dyDescent="0.35">
      <c r="A33" s="18" t="str">
        <f>Data!A25</f>
        <v>Peer Review Administrator, Tax</v>
      </c>
      <c r="B33" s="18" t="str">
        <f>Data!B25</f>
        <v>Quality Assurance</v>
      </c>
      <c r="C33" s="5">
        <f>Data!C25</f>
        <v>58700</v>
      </c>
      <c r="D33">
        <f>Data!W25</f>
        <v>360</v>
      </c>
      <c r="E33">
        <f>Data!X25</f>
        <v>5</v>
      </c>
      <c r="F33" s="19"/>
    </row>
    <row r="34" spans="1:6" ht="14.5" x14ac:dyDescent="0.35">
      <c r="A34" s="18" t="str">
        <f>Data!A26</f>
        <v>Information Officer</v>
      </c>
      <c r="B34" s="18" t="str">
        <f>Data!B26</f>
        <v>Marketing</v>
      </c>
      <c r="C34" s="5">
        <f>Data!C26</f>
        <v>55233</v>
      </c>
      <c r="D34">
        <f>Data!W26</f>
        <v>365</v>
      </c>
      <c r="E34">
        <f>Data!X26</f>
        <v>6</v>
      </c>
      <c r="F34" s="19"/>
    </row>
    <row r="35" spans="1:6" ht="14.5" x14ac:dyDescent="0.35">
      <c r="A35" s="18" t="str">
        <f>Data!A27</f>
        <v>Web Developer</v>
      </c>
      <c r="B35" s="18" t="str">
        <f>Data!B27</f>
        <v>IT</v>
      </c>
      <c r="C35" s="5">
        <f>Data!C27</f>
        <v>59000</v>
      </c>
      <c r="D35">
        <f>Data!W27</f>
        <v>375</v>
      </c>
      <c r="E35">
        <f>Data!X27</f>
        <v>6</v>
      </c>
      <c r="F35" s="19"/>
    </row>
    <row r="36" spans="1:6" ht="14.5" x14ac:dyDescent="0.35">
      <c r="A36" s="18" t="str">
        <f>Data!A32</f>
        <v>Coordinator, Professional Programs</v>
      </c>
      <c r="B36" s="18" t="str">
        <f>Data!B32</f>
        <v>Continuing Education</v>
      </c>
      <c r="C36" s="5">
        <f>Data!C32</f>
        <v>53042</v>
      </c>
      <c r="D36">
        <f>Data!W32</f>
        <v>525</v>
      </c>
      <c r="E36">
        <f>Data!X32</f>
        <v>8</v>
      </c>
      <c r="F36" s="19"/>
    </row>
    <row r="37" spans="1:6" ht="14.5" x14ac:dyDescent="0.35">
      <c r="A37" s="18" t="str">
        <f>Data!A34</f>
        <v>Manager, Workforce Recruitment</v>
      </c>
      <c r="B37" s="18" t="str">
        <f>Data!B34</f>
        <v>Marketing</v>
      </c>
      <c r="C37" s="5">
        <f>Data!C34</f>
        <v>83828</v>
      </c>
      <c r="D37">
        <f>Data!W34</f>
        <v>545</v>
      </c>
      <c r="E37">
        <f>Data!X34</f>
        <v>8</v>
      </c>
      <c r="F37" s="19"/>
    </row>
    <row r="38" spans="1:6" ht="14.5" x14ac:dyDescent="0.35">
      <c r="A38" s="18" t="str">
        <f>Data!A35</f>
        <v>Manager, Education Outreach</v>
      </c>
      <c r="B38" s="18" t="str">
        <f>Data!B35</f>
        <v>Marketing</v>
      </c>
      <c r="C38" s="5">
        <f>Data!C35</f>
        <v>81247</v>
      </c>
      <c r="D38">
        <f>Data!W35</f>
        <v>565</v>
      </c>
      <c r="E38">
        <f>Data!X35</f>
        <v>8</v>
      </c>
      <c r="F38" s="19"/>
    </row>
    <row r="39" spans="1:6" ht="14.5" x14ac:dyDescent="0.35">
      <c r="A39" s="18" t="str">
        <f>Data!A37</f>
        <v>Manager, Executive Office</v>
      </c>
      <c r="B39" s="18" t="str">
        <f>Data!B37</f>
        <v>Exec</v>
      </c>
      <c r="C39" s="5">
        <f>Data!C37</f>
        <v>71707</v>
      </c>
      <c r="D39">
        <f>Data!W37</f>
        <v>650</v>
      </c>
      <c r="E39">
        <f>Data!X37</f>
        <v>9</v>
      </c>
      <c r="F39" s="19"/>
    </row>
    <row r="40" spans="1:6" ht="14.5" x14ac:dyDescent="0.35">
      <c r="A40" s="18" t="str">
        <f>Data!A38</f>
        <v>Manager, Audit and Assurance</v>
      </c>
      <c r="B40" s="18" t="str">
        <f>Data!B38</f>
        <v>Quality Assurance</v>
      </c>
      <c r="C40" s="5">
        <f>Data!C38</f>
        <v>84980</v>
      </c>
      <c r="D40">
        <f>Data!W38</f>
        <v>655</v>
      </c>
      <c r="E40">
        <f>Data!X38</f>
        <v>9</v>
      </c>
      <c r="F40" s="19"/>
    </row>
    <row r="41" spans="1:6" ht="14.5" x14ac:dyDescent="0.35">
      <c r="A41" s="18" t="str">
        <f>Data!A39</f>
        <v>Manager, Tax Quality</v>
      </c>
      <c r="B41" s="18" t="str">
        <f>Data!B39</f>
        <v>Quality Assurance</v>
      </c>
      <c r="C41" s="5">
        <f>Data!C39</f>
        <v>70000</v>
      </c>
      <c r="D41">
        <f>Data!W39</f>
        <v>655</v>
      </c>
      <c r="E41">
        <f>Data!X39</f>
        <v>9</v>
      </c>
      <c r="F41" s="19"/>
    </row>
    <row r="42" spans="1:6" ht="14.5" x14ac:dyDescent="0.35">
      <c r="A42" s="18" t="str">
        <f>Data!A40</f>
        <v>Manager, Member Services Centre</v>
      </c>
      <c r="B42" s="18" t="str">
        <f>Data!B40</f>
        <v>Ops</v>
      </c>
      <c r="C42" s="5">
        <f>Data!C40</f>
        <v>95151</v>
      </c>
      <c r="D42">
        <f>Data!W40</f>
        <v>670</v>
      </c>
      <c r="E42">
        <f>Data!X40</f>
        <v>9</v>
      </c>
      <c r="F42" s="19"/>
    </row>
    <row r="43" spans="1:6" ht="14.5" x14ac:dyDescent="0.35">
      <c r="A43" s="18" t="str">
        <f>Data!A42</f>
        <v>Director, Continuing Education</v>
      </c>
      <c r="B43" s="18" t="str">
        <f>Data!B42</f>
        <v>Continuing Education</v>
      </c>
      <c r="C43" s="5">
        <f>Data!C42</f>
        <v>83860</v>
      </c>
      <c r="D43">
        <f>Data!W42</f>
        <v>760</v>
      </c>
      <c r="E43">
        <f>Data!X42</f>
        <v>9</v>
      </c>
      <c r="F43" s="19"/>
    </row>
    <row r="44" spans="1:6" ht="14.5" x14ac:dyDescent="0.35">
      <c r="A44" s="18" t="str">
        <f>Data!A43</f>
        <v>Director, Quality Assurance</v>
      </c>
      <c r="B44" s="18" t="str">
        <f>Data!B43</f>
        <v>Quality Assurance</v>
      </c>
      <c r="C44" s="5">
        <f>Data!C43</f>
        <v>114302</v>
      </c>
      <c r="D44">
        <f>Data!W43</f>
        <v>810</v>
      </c>
      <c r="E44">
        <f>Data!X43</f>
        <v>10</v>
      </c>
      <c r="F44" s="19"/>
    </row>
    <row r="45" spans="1:6" ht="14.5" x14ac:dyDescent="0.35">
      <c r="A45" s="18" t="str">
        <f>Data!A45</f>
        <v>Director, Operations</v>
      </c>
      <c r="B45" s="18" t="str">
        <f>Data!B45</f>
        <v>Ops</v>
      </c>
      <c r="C45" s="5">
        <f>Data!C45</f>
        <v>126947</v>
      </c>
      <c r="D45">
        <f>Data!W45</f>
        <v>835</v>
      </c>
      <c r="E45">
        <f>Data!X45</f>
        <v>10</v>
      </c>
      <c r="F45" s="19"/>
    </row>
    <row r="46" spans="1:6" ht="14.5" x14ac:dyDescent="0.35">
      <c r="A46" s="18"/>
    </row>
  </sheetData>
  <sortState xmlns:xlrd2="http://schemas.microsoft.com/office/spreadsheetml/2017/richdata2" ref="A2:F45">
    <sortCondition ref="F2:F4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A2D3-D217-45D5-AC08-339039C8E45D}">
  <dimension ref="A1:Q23"/>
  <sheetViews>
    <sheetView topLeftCell="A26" workbookViewId="0">
      <selection activeCell="G43" sqref="G43"/>
    </sheetView>
  </sheetViews>
  <sheetFormatPr defaultRowHeight="13.5" x14ac:dyDescent="0.3"/>
  <cols>
    <col min="14" max="14" width="33.53515625" customWidth="1"/>
    <col min="15" max="15" width="20.07421875" customWidth="1"/>
    <col min="16" max="16" width="11.765625" customWidth="1"/>
    <col min="17" max="17" width="11.53515625" customWidth="1"/>
  </cols>
  <sheetData>
    <row r="1" spans="1:17" ht="14.5" x14ac:dyDescent="0.35">
      <c r="A1" t="s">
        <v>63</v>
      </c>
      <c r="N1" s="1" t="s">
        <v>45</v>
      </c>
      <c r="O1" s="1" t="s">
        <v>30</v>
      </c>
      <c r="P1" s="11" t="s">
        <v>110</v>
      </c>
      <c r="Q1" s="11" t="s">
        <v>117</v>
      </c>
    </row>
    <row r="2" spans="1:17" ht="15" thickBot="1" x14ac:dyDescent="0.4">
      <c r="N2" s="18" t="str">
        <f>Benchmarks!A2</f>
        <v>Receptionist</v>
      </c>
      <c r="O2" s="18" t="str">
        <f>Benchmarks!B2</f>
        <v>Ops</v>
      </c>
      <c r="P2">
        <f>Benchmarks!D2</f>
        <v>260</v>
      </c>
      <c r="Q2" s="19">
        <f>Benchmarks!F2</f>
        <v>35287.900355871883</v>
      </c>
    </row>
    <row r="3" spans="1:17" ht="14.5" x14ac:dyDescent="0.35">
      <c r="A3" s="8" t="s">
        <v>64</v>
      </c>
      <c r="B3" s="8"/>
      <c r="N3" s="18" t="str">
        <f>Benchmarks!A3</f>
        <v xml:space="preserve">Administrative Clerk </v>
      </c>
      <c r="O3" s="18" t="str">
        <f>Benchmarks!B3</f>
        <v>Quality Assurance</v>
      </c>
      <c r="P3">
        <f>Benchmarks!D3</f>
        <v>255</v>
      </c>
      <c r="Q3" s="19">
        <f>Benchmarks!F3</f>
        <v>38372.611464968155</v>
      </c>
    </row>
    <row r="4" spans="1:17" ht="14.5" x14ac:dyDescent="0.35">
      <c r="A4" t="s">
        <v>65</v>
      </c>
      <c r="B4">
        <v>0.95116683279840353</v>
      </c>
      <c r="N4" s="18" t="str">
        <f>Benchmarks!A4</f>
        <v xml:space="preserve">Administrative Clerk </v>
      </c>
      <c r="O4" s="18" t="str">
        <f>Benchmarks!B4</f>
        <v>Ops</v>
      </c>
      <c r="P4">
        <f>Benchmarks!D4</f>
        <v>265</v>
      </c>
      <c r="Q4" s="19">
        <f>Benchmarks!F4</f>
        <v>38372.611464968155</v>
      </c>
    </row>
    <row r="5" spans="1:17" ht="14.5" x14ac:dyDescent="0.35">
      <c r="A5" t="s">
        <v>66</v>
      </c>
      <c r="B5">
        <v>0.90471834381574623</v>
      </c>
      <c r="N5" s="18" t="str">
        <f>Benchmarks!A5</f>
        <v xml:space="preserve">Administrative Clerk </v>
      </c>
      <c r="O5" s="18" t="str">
        <f>Benchmarks!B5</f>
        <v>Ops</v>
      </c>
      <c r="P5">
        <f>Benchmarks!D5</f>
        <v>265</v>
      </c>
      <c r="Q5" s="19">
        <f>Benchmarks!F5</f>
        <v>38372.611464968155</v>
      </c>
    </row>
    <row r="6" spans="1:17" ht="14.5" x14ac:dyDescent="0.35">
      <c r="A6" t="s">
        <v>67</v>
      </c>
      <c r="B6">
        <v>0.89995426100653353</v>
      </c>
      <c r="N6" s="18" t="str">
        <f>Benchmarks!A6</f>
        <v>Administrative Clerk/mailroom clerk</v>
      </c>
      <c r="O6" s="18" t="str">
        <f>Benchmarks!B6</f>
        <v>Ops</v>
      </c>
      <c r="P6">
        <f>Benchmarks!D6</f>
        <v>310</v>
      </c>
      <c r="Q6" s="19">
        <f>Benchmarks!F6</f>
        <v>39200.92592592592</v>
      </c>
    </row>
    <row r="7" spans="1:17" ht="14.5" x14ac:dyDescent="0.35">
      <c r="A7" t="s">
        <v>68</v>
      </c>
      <c r="B7">
        <v>17682.48570333924</v>
      </c>
      <c r="N7" s="18" t="str">
        <f>Benchmarks!A7</f>
        <v>Junior Accountant</v>
      </c>
      <c r="O7" s="18" t="str">
        <f>Benchmarks!B7</f>
        <v>Ops</v>
      </c>
      <c r="P7">
        <f>Benchmarks!D7</f>
        <v>295</v>
      </c>
      <c r="Q7" s="19">
        <f>Benchmarks!F7</f>
        <v>44119.736842105252</v>
      </c>
    </row>
    <row r="8" spans="1:17" ht="15" thickBot="1" x14ac:dyDescent="0.4">
      <c r="A8" s="6" t="s">
        <v>69</v>
      </c>
      <c r="B8" s="6">
        <v>22</v>
      </c>
      <c r="N8" s="18" t="str">
        <f>Benchmarks!A8</f>
        <v>Secretary (Director Continuing Education)</v>
      </c>
      <c r="O8" s="18" t="str">
        <f>Benchmarks!B8</f>
        <v>Continuing Education</v>
      </c>
      <c r="P8">
        <f>Benchmarks!D8</f>
        <v>285</v>
      </c>
      <c r="Q8" s="19">
        <f>Benchmarks!F8</f>
        <v>47838.275862068971</v>
      </c>
    </row>
    <row r="9" spans="1:17" ht="14.5" x14ac:dyDescent="0.35">
      <c r="N9" s="18" t="str">
        <f>Benchmarks!A9</f>
        <v>Secretary (Director Operations)</v>
      </c>
      <c r="O9" s="18" t="str">
        <f>Benchmarks!B9</f>
        <v>Ops</v>
      </c>
      <c r="P9">
        <f>Benchmarks!D9</f>
        <v>350</v>
      </c>
      <c r="Q9" s="19">
        <f>Benchmarks!F9</f>
        <v>47838.275862068971</v>
      </c>
    </row>
    <row r="10" spans="1:17" ht="15" thickBot="1" x14ac:dyDescent="0.4">
      <c r="A10" t="s">
        <v>70</v>
      </c>
      <c r="N10" s="18" t="str">
        <f>Benchmarks!A10</f>
        <v>Marketing Coordinator</v>
      </c>
      <c r="O10" s="18" t="str">
        <f>Benchmarks!B10</f>
        <v>Marketing</v>
      </c>
      <c r="P10">
        <f>Benchmarks!D10</f>
        <v>465</v>
      </c>
      <c r="Q10" s="19">
        <f>Benchmarks!F10</f>
        <v>47849.333333333343</v>
      </c>
    </row>
    <row r="11" spans="1:17" ht="14.5" x14ac:dyDescent="0.35">
      <c r="A11" s="7"/>
      <c r="B11" s="7" t="s">
        <v>75</v>
      </c>
      <c r="C11" s="7" t="s">
        <v>76</v>
      </c>
      <c r="D11" s="7" t="s">
        <v>77</v>
      </c>
      <c r="E11" s="7" t="s">
        <v>78</v>
      </c>
      <c r="F11" s="7" t="s">
        <v>79</v>
      </c>
      <c r="N11" s="18" t="str">
        <f>Benchmarks!A11</f>
        <v>Meetings and District Programs Coordinator</v>
      </c>
      <c r="O11" s="18" t="str">
        <f>Benchmarks!B11</f>
        <v>Continuing Education</v>
      </c>
      <c r="P11">
        <f>Benchmarks!D11</f>
        <v>280</v>
      </c>
      <c r="Q11" s="19">
        <f>Benchmarks!F11</f>
        <v>50257.142857142855</v>
      </c>
    </row>
    <row r="12" spans="1:17" ht="14.5" x14ac:dyDescent="0.35">
      <c r="A12" t="s">
        <v>71</v>
      </c>
      <c r="B12">
        <v>1</v>
      </c>
      <c r="C12">
        <v>59377338281.426506</v>
      </c>
      <c r="D12">
        <v>59377338281.426506</v>
      </c>
      <c r="E12">
        <v>189.90399202680092</v>
      </c>
      <c r="F12">
        <v>1.1370455551548269E-11</v>
      </c>
      <c r="N12" s="18" t="str">
        <f>Benchmarks!A12</f>
        <v>Seminar Coordinator</v>
      </c>
      <c r="O12" s="18" t="str">
        <f>Benchmarks!B12</f>
        <v>Continuing Education</v>
      </c>
      <c r="P12">
        <f>Benchmarks!D12</f>
        <v>280</v>
      </c>
      <c r="Q12" s="19">
        <f>Benchmarks!F12</f>
        <v>50257.142857142855</v>
      </c>
    </row>
    <row r="13" spans="1:17" ht="14.5" x14ac:dyDescent="0.35">
      <c r="A13" t="s">
        <v>72</v>
      </c>
      <c r="B13">
        <v>20</v>
      </c>
      <c r="C13">
        <v>6253406012.9759312</v>
      </c>
      <c r="D13">
        <v>312670300.64879656</v>
      </c>
      <c r="N13" s="18" t="str">
        <f>Benchmarks!A13</f>
        <v>Seminar Coordinator</v>
      </c>
      <c r="O13" s="18" t="str">
        <f>Benchmarks!B13</f>
        <v>Continuing Education</v>
      </c>
      <c r="P13">
        <f>Benchmarks!D13</f>
        <v>280</v>
      </c>
      <c r="Q13" s="19">
        <f>Benchmarks!F13</f>
        <v>50257.142857142855</v>
      </c>
    </row>
    <row r="14" spans="1:17" ht="15" thickBot="1" x14ac:dyDescent="0.4">
      <c r="A14" s="6" t="s">
        <v>73</v>
      </c>
      <c r="B14" s="6">
        <v>21</v>
      </c>
      <c r="C14" s="6">
        <v>65630744294.402435</v>
      </c>
      <c r="D14" s="6"/>
      <c r="E14" s="6"/>
      <c r="F14" s="6"/>
      <c r="N14" s="18" t="str">
        <f>Benchmarks!A14</f>
        <v>Accountant</v>
      </c>
      <c r="O14" s="18" t="str">
        <f>Benchmarks!B14</f>
        <v>Ops</v>
      </c>
      <c r="P14">
        <f>Benchmarks!D14</f>
        <v>330</v>
      </c>
      <c r="Q14" s="19">
        <f>Benchmarks!F14</f>
        <v>53229.842931937172</v>
      </c>
    </row>
    <row r="15" spans="1:17" ht="15" thickBot="1" x14ac:dyDescent="0.4">
      <c r="N15" s="18" t="str">
        <f>Benchmarks!A15</f>
        <v>Administrative Assistant, Exec Office</v>
      </c>
      <c r="O15" s="18" t="str">
        <f>Benchmarks!B15</f>
        <v>Exec</v>
      </c>
      <c r="P15">
        <f>Benchmarks!D15</f>
        <v>290</v>
      </c>
      <c r="Q15" s="19">
        <f>Benchmarks!F15</f>
        <v>55492.469879518074</v>
      </c>
    </row>
    <row r="16" spans="1:17" ht="14.5" x14ac:dyDescent="0.35">
      <c r="A16" s="7"/>
      <c r="B16" s="7" t="s">
        <v>80</v>
      </c>
      <c r="C16" s="7" t="s">
        <v>68</v>
      </c>
      <c r="D16" s="7" t="s">
        <v>81</v>
      </c>
      <c r="E16" s="7" t="s">
        <v>82</v>
      </c>
      <c r="F16" s="7" t="s">
        <v>83</v>
      </c>
      <c r="G16" s="7" t="s">
        <v>84</v>
      </c>
      <c r="H16" s="7" t="s">
        <v>85</v>
      </c>
      <c r="I16" s="7" t="s">
        <v>86</v>
      </c>
      <c r="N16" s="18" t="str">
        <f>Benchmarks!A16</f>
        <v>Communications Specialist</v>
      </c>
      <c r="O16" s="18" t="str">
        <f>Benchmarks!B16</f>
        <v>Marketing</v>
      </c>
      <c r="P16">
        <f>Benchmarks!D16</f>
        <v>395</v>
      </c>
      <c r="Q16" s="19">
        <f>Benchmarks!F16</f>
        <v>57876.923076923078</v>
      </c>
    </row>
    <row r="17" spans="1:17" ht="14.5" x14ac:dyDescent="0.35">
      <c r="A17" t="s">
        <v>74</v>
      </c>
      <c r="B17">
        <v>-38573.493290184793</v>
      </c>
      <c r="C17">
        <v>8859.9012916539632</v>
      </c>
      <c r="D17">
        <v>-4.3537159185420125</v>
      </c>
      <c r="E17">
        <v>3.0773095435164565E-4</v>
      </c>
      <c r="F17">
        <v>-57054.923530958578</v>
      </c>
      <c r="G17">
        <v>-20092.063049411005</v>
      </c>
      <c r="H17">
        <v>-57054.923530958578</v>
      </c>
      <c r="I17">
        <v>-20092.063049411005</v>
      </c>
      <c r="N17" s="18" t="str">
        <f>Benchmarks!A17</f>
        <v>Senior Accountant</v>
      </c>
      <c r="O17" s="18" t="str">
        <f>Benchmarks!B17</f>
        <v>Ops</v>
      </c>
      <c r="P17">
        <f>Benchmarks!D17</f>
        <v>410</v>
      </c>
      <c r="Q17" s="19">
        <f>Benchmarks!F17</f>
        <v>68414.634146341457</v>
      </c>
    </row>
    <row r="18" spans="1:17" ht="15" thickBot="1" x14ac:dyDescent="0.4">
      <c r="A18" s="6" t="s">
        <v>110</v>
      </c>
      <c r="B18" s="6">
        <v>269.48830408558871</v>
      </c>
      <c r="C18" s="6">
        <v>19.555677846052454</v>
      </c>
      <c r="D18" s="6">
        <v>13.780565736819403</v>
      </c>
      <c r="E18" s="6">
        <v>1.1370455551548269E-11</v>
      </c>
      <c r="F18" s="6">
        <v>228.69587491221642</v>
      </c>
      <c r="G18" s="6">
        <v>310.28073325896099</v>
      </c>
      <c r="H18" s="6">
        <v>228.69587491221642</v>
      </c>
      <c r="I18" s="6">
        <v>310.28073325896099</v>
      </c>
      <c r="N18" s="18" t="str">
        <f>Benchmarks!A18</f>
        <v>Manager Conferences and Event Planning</v>
      </c>
      <c r="O18" s="18" t="str">
        <f>Benchmarks!B18</f>
        <v>Continuing Education</v>
      </c>
      <c r="P18">
        <f>Benchmarks!D18</f>
        <v>525</v>
      </c>
      <c r="Q18" s="19">
        <f>Benchmarks!F18</f>
        <v>69642.857142857145</v>
      </c>
    </row>
    <row r="19" spans="1:17" ht="14.5" x14ac:dyDescent="0.35">
      <c r="N19" s="18" t="str">
        <f>Benchmarks!A19</f>
        <v>Coordinator, Audit and Assurance</v>
      </c>
      <c r="O19" s="18" t="str">
        <f>Benchmarks!B19</f>
        <v>Quality Assurance</v>
      </c>
      <c r="P19">
        <f>Benchmarks!D19</f>
        <v>425</v>
      </c>
      <c r="Q19" s="19">
        <f>Benchmarks!F19</f>
        <v>70516.216216216213</v>
      </c>
    </row>
    <row r="20" spans="1:17" ht="14.5" x14ac:dyDescent="0.35">
      <c r="N20" s="18" t="str">
        <f>Benchmarks!A20</f>
        <v>Manager Finance and Administration</v>
      </c>
      <c r="O20" s="18" t="str">
        <f>Benchmarks!B20</f>
        <v>Ops</v>
      </c>
      <c r="P20">
        <f>Benchmarks!D20</f>
        <v>565</v>
      </c>
      <c r="Q20" s="19">
        <f>Benchmarks!F20</f>
        <v>85162.369337979108</v>
      </c>
    </row>
    <row r="21" spans="1:17" ht="14.5" x14ac:dyDescent="0.35">
      <c r="N21" s="18" t="str">
        <f>Benchmarks!A21</f>
        <v>Director, IT</v>
      </c>
      <c r="O21" s="18" t="str">
        <f>Benchmarks!B21</f>
        <v>IT</v>
      </c>
      <c r="P21">
        <f>Benchmarks!D21</f>
        <v>685</v>
      </c>
      <c r="Q21" s="19">
        <f>Benchmarks!F21</f>
        <v>150078.7878787879</v>
      </c>
    </row>
    <row r="22" spans="1:17" ht="14.5" x14ac:dyDescent="0.35">
      <c r="N22" s="18" t="str">
        <f>Benchmarks!A22</f>
        <v>Director, Marketing and Communications</v>
      </c>
      <c r="O22" s="18" t="str">
        <f>Benchmarks!B22</f>
        <v>Marketing</v>
      </c>
      <c r="P22">
        <f>Benchmarks!D22</f>
        <v>820</v>
      </c>
      <c r="Q22" s="19">
        <f>Benchmarks!F22</f>
        <v>178075.00000000003</v>
      </c>
    </row>
    <row r="23" spans="1:17" ht="14.5" x14ac:dyDescent="0.35">
      <c r="N23" s="18" t="str">
        <f>Benchmarks!A23</f>
        <v>Executive Director</v>
      </c>
      <c r="O23" s="18" t="str">
        <f>Benchmarks!B23</f>
        <v>Exec</v>
      </c>
      <c r="P23">
        <f>Benchmarks!D23</f>
        <v>985</v>
      </c>
      <c r="Q23" s="19">
        <f>Benchmarks!F23</f>
        <v>265654.83870967745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668E5-7660-4F6B-B488-7EA66BBF809A}">
  <dimension ref="A1:Z45"/>
  <sheetViews>
    <sheetView workbookViewId="0">
      <selection activeCell="G39" sqref="G39"/>
    </sheetView>
  </sheetViews>
  <sheetFormatPr defaultRowHeight="13.5" x14ac:dyDescent="0.3"/>
  <cols>
    <col min="14" max="14" width="36.69140625" customWidth="1"/>
    <col min="15" max="16" width="19.3046875" customWidth="1"/>
    <col min="17" max="17" width="11.4609375" customWidth="1"/>
    <col min="18" max="22" width="12.69140625" customWidth="1"/>
    <col min="23" max="23" width="44.765625" customWidth="1"/>
    <col min="24" max="24" width="17.3046875" customWidth="1"/>
  </cols>
  <sheetData>
    <row r="1" spans="1:26" ht="14.5" x14ac:dyDescent="0.35">
      <c r="A1" t="s">
        <v>63</v>
      </c>
      <c r="N1" s="1" t="s">
        <v>45</v>
      </c>
      <c r="O1" s="1" t="s">
        <v>30</v>
      </c>
      <c r="P1" s="22" t="s">
        <v>110</v>
      </c>
      <c r="Q1" s="1" t="s">
        <v>62</v>
      </c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N2" s="18" t="s">
        <v>23</v>
      </c>
      <c r="O2" s="18" t="s">
        <v>27</v>
      </c>
      <c r="P2">
        <v>255</v>
      </c>
      <c r="Q2" s="5">
        <v>36260</v>
      </c>
      <c r="Z2" s="56"/>
    </row>
    <row r="3" spans="1:26" ht="14.5" x14ac:dyDescent="0.35">
      <c r="A3" s="8" t="s">
        <v>64</v>
      </c>
      <c r="B3" s="8"/>
      <c r="N3" s="18" t="s">
        <v>37</v>
      </c>
      <c r="O3" s="18" t="s">
        <v>20</v>
      </c>
      <c r="P3">
        <v>260</v>
      </c>
      <c r="Q3" s="5">
        <v>44526</v>
      </c>
      <c r="Z3" s="56"/>
    </row>
    <row r="4" spans="1:26" ht="14.5" x14ac:dyDescent="0.35">
      <c r="A4" t="s">
        <v>65</v>
      </c>
      <c r="B4">
        <v>0.91079235432389161</v>
      </c>
      <c r="N4" s="18" t="s">
        <v>33</v>
      </c>
      <c r="O4" s="18" t="s">
        <v>20</v>
      </c>
      <c r="P4">
        <v>265</v>
      </c>
      <c r="Q4" s="5">
        <v>36113</v>
      </c>
      <c r="Z4" s="56"/>
    </row>
    <row r="5" spans="1:26" ht="14.5" x14ac:dyDescent="0.35">
      <c r="A5" t="s">
        <v>66</v>
      </c>
      <c r="B5">
        <v>0.82954271269485724</v>
      </c>
      <c r="N5" s="18" t="s">
        <v>33</v>
      </c>
      <c r="O5" s="18" t="s">
        <v>20</v>
      </c>
      <c r="P5">
        <v>265</v>
      </c>
      <c r="Q5" s="5">
        <v>32008</v>
      </c>
      <c r="Z5" s="56"/>
    </row>
    <row r="6" spans="1:26" ht="14.5" x14ac:dyDescent="0.35">
      <c r="A6" t="s">
        <v>67</v>
      </c>
      <c r="B6">
        <v>0.82548420585425863</v>
      </c>
      <c r="N6" s="18" t="s">
        <v>38</v>
      </c>
      <c r="O6" s="18" t="s">
        <v>20</v>
      </c>
      <c r="P6">
        <v>280</v>
      </c>
      <c r="Q6" s="5">
        <v>46481</v>
      </c>
      <c r="Z6" s="56"/>
    </row>
    <row r="7" spans="1:26" ht="14.5" x14ac:dyDescent="0.35">
      <c r="A7" t="s">
        <v>68</v>
      </c>
      <c r="B7">
        <v>12058.696902407002</v>
      </c>
      <c r="N7" s="18" t="s">
        <v>46</v>
      </c>
      <c r="O7" s="18" t="s">
        <v>6</v>
      </c>
      <c r="P7">
        <v>280</v>
      </c>
      <c r="Q7" s="59">
        <v>42908</v>
      </c>
      <c r="Z7" s="56"/>
    </row>
    <row r="8" spans="1:26" ht="15" thickBot="1" x14ac:dyDescent="0.4">
      <c r="A8" s="6" t="s">
        <v>69</v>
      </c>
      <c r="B8" s="6">
        <v>44</v>
      </c>
      <c r="N8" s="18" t="s">
        <v>10</v>
      </c>
      <c r="O8" s="18" t="s">
        <v>6</v>
      </c>
      <c r="P8">
        <v>280</v>
      </c>
      <c r="Q8" s="5">
        <v>38513</v>
      </c>
      <c r="Z8" s="56"/>
    </row>
    <row r="9" spans="1:26" ht="14.5" x14ac:dyDescent="0.35">
      <c r="N9" s="18" t="s">
        <v>10</v>
      </c>
      <c r="O9" s="18" t="s">
        <v>6</v>
      </c>
      <c r="P9">
        <v>280</v>
      </c>
      <c r="Q9" s="5">
        <v>37370</v>
      </c>
      <c r="Z9" s="56"/>
    </row>
    <row r="10" spans="1:26" ht="15" thickBot="1" x14ac:dyDescent="0.4">
      <c r="A10" t="s">
        <v>70</v>
      </c>
      <c r="N10" s="18" t="s">
        <v>7</v>
      </c>
      <c r="O10" s="18" t="s">
        <v>6</v>
      </c>
      <c r="P10">
        <v>285</v>
      </c>
      <c r="Q10" s="59">
        <v>43898</v>
      </c>
      <c r="Z10" s="56"/>
    </row>
    <row r="11" spans="1:26" ht="14.5" x14ac:dyDescent="0.35">
      <c r="A11" s="7"/>
      <c r="B11" s="7" t="s">
        <v>75</v>
      </c>
      <c r="C11" s="7" t="s">
        <v>76</v>
      </c>
      <c r="D11" s="7" t="s">
        <v>77</v>
      </c>
      <c r="E11" s="7" t="s">
        <v>78</v>
      </c>
      <c r="F11" s="7" t="s">
        <v>79</v>
      </c>
      <c r="N11" s="18" t="s">
        <v>48</v>
      </c>
      <c r="O11" s="18" t="s">
        <v>12</v>
      </c>
      <c r="P11">
        <v>290</v>
      </c>
      <c r="Q11" s="5">
        <v>37258</v>
      </c>
      <c r="Z11" s="56"/>
    </row>
    <row r="12" spans="1:26" ht="14.5" x14ac:dyDescent="0.35">
      <c r="A12" t="s">
        <v>71</v>
      </c>
      <c r="B12">
        <v>1</v>
      </c>
      <c r="C12">
        <v>29721671421.212399</v>
      </c>
      <c r="D12">
        <v>29721671421.212399</v>
      </c>
      <c r="E12">
        <v>204.39603659076215</v>
      </c>
      <c r="F12">
        <v>9.7775945257315225E-18</v>
      </c>
      <c r="N12" s="18" t="s">
        <v>51</v>
      </c>
      <c r="O12" s="18" t="s">
        <v>13</v>
      </c>
      <c r="P12">
        <v>290</v>
      </c>
      <c r="Q12" s="5">
        <v>41500</v>
      </c>
      <c r="Z12" s="56"/>
    </row>
    <row r="13" spans="1:26" ht="14.5" x14ac:dyDescent="0.35">
      <c r="A13" t="s">
        <v>72</v>
      </c>
      <c r="B13">
        <v>42</v>
      </c>
      <c r="C13">
        <v>6107311181.3330488</v>
      </c>
      <c r="D13">
        <v>145412170.98412022</v>
      </c>
      <c r="N13" s="18" t="s">
        <v>43</v>
      </c>
      <c r="O13" s="18" t="s">
        <v>20</v>
      </c>
      <c r="P13">
        <v>295</v>
      </c>
      <c r="Q13" s="5">
        <v>58000</v>
      </c>
      <c r="Z13" s="56"/>
    </row>
    <row r="14" spans="1:26" ht="15" thickBot="1" x14ac:dyDescent="0.4">
      <c r="A14" s="6" t="s">
        <v>73</v>
      </c>
      <c r="B14" s="6">
        <v>43</v>
      </c>
      <c r="C14" s="6">
        <v>35828982602.545448</v>
      </c>
      <c r="D14" s="6"/>
      <c r="E14" s="6"/>
      <c r="F14" s="6"/>
      <c r="N14" s="18" t="s">
        <v>34</v>
      </c>
      <c r="O14" s="18" t="s">
        <v>20</v>
      </c>
      <c r="P14">
        <v>295</v>
      </c>
      <c r="Q14" s="5">
        <v>32810</v>
      </c>
      <c r="Z14" s="56"/>
    </row>
    <row r="15" spans="1:26" ht="15" thickBot="1" x14ac:dyDescent="0.4">
      <c r="N15" s="18" t="s">
        <v>35</v>
      </c>
      <c r="O15" s="18" t="s">
        <v>20</v>
      </c>
      <c r="P15">
        <v>310</v>
      </c>
      <c r="Q15" s="5">
        <v>40429</v>
      </c>
      <c r="Z15" s="56"/>
    </row>
    <row r="16" spans="1:26" ht="14.5" x14ac:dyDescent="0.35">
      <c r="A16" s="7"/>
      <c r="B16" s="7" t="s">
        <v>80</v>
      </c>
      <c r="C16" s="7" t="s">
        <v>68</v>
      </c>
      <c r="D16" s="7" t="s">
        <v>81</v>
      </c>
      <c r="E16" s="7" t="s">
        <v>82</v>
      </c>
      <c r="F16" s="7" t="s">
        <v>83</v>
      </c>
      <c r="G16" s="7" t="s">
        <v>84</v>
      </c>
      <c r="H16" s="7" t="s">
        <v>85</v>
      </c>
      <c r="I16" s="7" t="s">
        <v>86</v>
      </c>
      <c r="N16" s="18" t="s">
        <v>36</v>
      </c>
      <c r="O16" s="18" t="s">
        <v>20</v>
      </c>
      <c r="P16">
        <v>330</v>
      </c>
      <c r="Q16" s="5">
        <v>41530</v>
      </c>
      <c r="Z16" s="56"/>
    </row>
    <row r="17" spans="1:26" ht="14.5" x14ac:dyDescent="0.35">
      <c r="A17" t="s">
        <v>74</v>
      </c>
      <c r="B17">
        <v>2790.2866830079365</v>
      </c>
      <c r="C17">
        <v>4657.6084582566809</v>
      </c>
      <c r="D17">
        <v>0.59908141871855125</v>
      </c>
      <c r="E17">
        <v>0.55233652015515755</v>
      </c>
      <c r="F17">
        <v>-6609.1477254923029</v>
      </c>
      <c r="G17">
        <v>12189.721091508176</v>
      </c>
      <c r="H17">
        <v>-6609.1477254923029</v>
      </c>
      <c r="I17">
        <v>12189.721091508176</v>
      </c>
      <c r="N17" s="18" t="s">
        <v>53</v>
      </c>
      <c r="O17" s="18" t="s">
        <v>13</v>
      </c>
      <c r="P17">
        <v>335</v>
      </c>
      <c r="Q17" s="5">
        <v>77289</v>
      </c>
      <c r="Z17" s="56"/>
    </row>
    <row r="18" spans="1:26" ht="15" thickBot="1" x14ac:dyDescent="0.4">
      <c r="A18" s="6" t="s">
        <v>110</v>
      </c>
      <c r="B18" s="6">
        <v>136.68626227249308</v>
      </c>
      <c r="C18" s="6">
        <v>9.5606767030009294</v>
      </c>
      <c r="D18" s="6">
        <v>14.2967141886086</v>
      </c>
      <c r="E18" s="6">
        <v>9.7775945257312421E-18</v>
      </c>
      <c r="F18" s="6">
        <v>117.39203555160432</v>
      </c>
      <c r="G18" s="6">
        <v>155.98048899338184</v>
      </c>
      <c r="H18" s="6">
        <v>117.39203555160432</v>
      </c>
      <c r="I18" s="6">
        <v>155.98048899338184</v>
      </c>
      <c r="N18" s="18" t="s">
        <v>42</v>
      </c>
      <c r="O18" s="18" t="s">
        <v>20</v>
      </c>
      <c r="P18">
        <v>340</v>
      </c>
      <c r="Q18" s="5">
        <v>68700</v>
      </c>
      <c r="Z18" s="56"/>
    </row>
    <row r="19" spans="1:26" ht="14.5" x14ac:dyDescent="0.35">
      <c r="N19" s="18" t="s">
        <v>11</v>
      </c>
      <c r="O19" s="18" t="s">
        <v>6</v>
      </c>
      <c r="P19">
        <v>345</v>
      </c>
      <c r="Q19" s="5">
        <v>39104</v>
      </c>
      <c r="Z19" s="56"/>
    </row>
    <row r="20" spans="1:26" ht="14.5" x14ac:dyDescent="0.35">
      <c r="N20" s="18" t="s">
        <v>40</v>
      </c>
      <c r="O20" s="18" t="s">
        <v>20</v>
      </c>
      <c r="P20">
        <v>350</v>
      </c>
      <c r="Q20" s="5">
        <v>63348</v>
      </c>
      <c r="Z20" s="56"/>
    </row>
    <row r="21" spans="1:26" ht="14.5" x14ac:dyDescent="0.35">
      <c r="N21" s="18" t="s">
        <v>21</v>
      </c>
      <c r="O21" s="18" t="s">
        <v>20</v>
      </c>
      <c r="P21">
        <v>350</v>
      </c>
      <c r="Q21" s="5">
        <v>49508</v>
      </c>
      <c r="Z21" s="56"/>
    </row>
    <row r="22" spans="1:26" ht="14.5" x14ac:dyDescent="0.35">
      <c r="N22" s="18" t="s">
        <v>26</v>
      </c>
      <c r="O22" s="18" t="s">
        <v>27</v>
      </c>
      <c r="P22">
        <v>355</v>
      </c>
      <c r="Q22" s="5">
        <v>56000</v>
      </c>
      <c r="Z22" s="56"/>
    </row>
    <row r="23" spans="1:26" ht="14.5" x14ac:dyDescent="0.35">
      <c r="N23" s="18" t="s">
        <v>26</v>
      </c>
      <c r="O23" s="18" t="s">
        <v>27</v>
      </c>
      <c r="P23">
        <v>355</v>
      </c>
      <c r="Q23" s="5">
        <v>54390</v>
      </c>
      <c r="Z23" s="56"/>
    </row>
    <row r="24" spans="1:26" ht="14.5" x14ac:dyDescent="0.35">
      <c r="N24" s="18" t="s">
        <v>25</v>
      </c>
      <c r="O24" s="18" t="s">
        <v>27</v>
      </c>
      <c r="P24">
        <v>360</v>
      </c>
      <c r="Q24" s="5">
        <v>58700</v>
      </c>
      <c r="Z24" s="56"/>
    </row>
    <row r="25" spans="1:26" ht="14.5" x14ac:dyDescent="0.35">
      <c r="N25" s="18" t="s">
        <v>16</v>
      </c>
      <c r="O25" s="18" t="s">
        <v>15</v>
      </c>
      <c r="P25">
        <v>365</v>
      </c>
      <c r="Q25" s="5">
        <v>55233</v>
      </c>
      <c r="Z25" s="56"/>
    </row>
    <row r="26" spans="1:26" ht="14.5" x14ac:dyDescent="0.35">
      <c r="N26" s="18" t="s">
        <v>52</v>
      </c>
      <c r="O26" s="18" t="s">
        <v>13</v>
      </c>
      <c r="P26">
        <v>375</v>
      </c>
      <c r="Q26" s="5">
        <v>59000</v>
      </c>
      <c r="Z26" s="56"/>
    </row>
    <row r="27" spans="1:26" ht="14.5" x14ac:dyDescent="0.35">
      <c r="N27" s="18" t="s">
        <v>55</v>
      </c>
      <c r="O27" s="18" t="s">
        <v>15</v>
      </c>
      <c r="P27">
        <v>395</v>
      </c>
      <c r="Q27" s="5">
        <v>67040</v>
      </c>
      <c r="Z27" s="56"/>
    </row>
    <row r="28" spans="1:26" ht="14.5" x14ac:dyDescent="0.35">
      <c r="N28" s="18" t="s">
        <v>39</v>
      </c>
      <c r="O28" s="18" t="s">
        <v>20</v>
      </c>
      <c r="P28">
        <v>410</v>
      </c>
      <c r="Q28" s="5">
        <v>51082</v>
      </c>
      <c r="Z28" s="56"/>
    </row>
    <row r="29" spans="1:26" ht="14.5" x14ac:dyDescent="0.35">
      <c r="N29" s="18" t="s">
        <v>61</v>
      </c>
      <c r="O29" s="18" t="s">
        <v>27</v>
      </c>
      <c r="P29">
        <v>425</v>
      </c>
      <c r="Q29" s="5">
        <v>64755</v>
      </c>
      <c r="Z29" s="56"/>
    </row>
    <row r="30" spans="1:26" ht="14.5" x14ac:dyDescent="0.35">
      <c r="N30" s="18" t="s">
        <v>14</v>
      </c>
      <c r="O30" s="18" t="s">
        <v>15</v>
      </c>
      <c r="P30">
        <v>465</v>
      </c>
      <c r="Q30" s="5">
        <v>47375</v>
      </c>
      <c r="Z30" s="56"/>
    </row>
    <row r="31" spans="1:26" ht="14.5" x14ac:dyDescent="0.35">
      <c r="N31" s="18" t="s">
        <v>8</v>
      </c>
      <c r="O31" s="18" t="s">
        <v>6</v>
      </c>
      <c r="P31">
        <v>525</v>
      </c>
      <c r="Q31" s="5">
        <v>53042</v>
      </c>
      <c r="Z31" s="56"/>
    </row>
    <row r="32" spans="1:26" ht="14.5" x14ac:dyDescent="0.35">
      <c r="N32" s="18" t="s">
        <v>47</v>
      </c>
      <c r="O32" s="18" t="s">
        <v>6</v>
      </c>
      <c r="P32">
        <v>525</v>
      </c>
      <c r="Q32" s="5">
        <v>72180</v>
      </c>
      <c r="Z32" s="56"/>
    </row>
    <row r="33" spans="14:26" ht="14.5" x14ac:dyDescent="0.35">
      <c r="N33" s="18" t="s">
        <v>18</v>
      </c>
      <c r="O33" s="18" t="s">
        <v>15</v>
      </c>
      <c r="P33">
        <v>545</v>
      </c>
      <c r="Q33" s="5">
        <v>83828</v>
      </c>
      <c r="Z33" s="56"/>
    </row>
    <row r="34" spans="14:26" ht="14.5" x14ac:dyDescent="0.35">
      <c r="N34" s="18" t="s">
        <v>44</v>
      </c>
      <c r="O34" s="18" t="s">
        <v>20</v>
      </c>
      <c r="P34">
        <v>565</v>
      </c>
      <c r="Q34" s="5">
        <v>69733</v>
      </c>
      <c r="Z34" s="56"/>
    </row>
    <row r="35" spans="14:26" ht="14.5" x14ac:dyDescent="0.35">
      <c r="N35" s="18" t="s">
        <v>17</v>
      </c>
      <c r="O35" s="18" t="s">
        <v>15</v>
      </c>
      <c r="P35">
        <v>565</v>
      </c>
      <c r="Q35" s="5">
        <v>81247</v>
      </c>
      <c r="Z35" s="56"/>
    </row>
    <row r="36" spans="14:26" ht="14.5" x14ac:dyDescent="0.35">
      <c r="N36" s="18" t="s">
        <v>49</v>
      </c>
      <c r="O36" s="18" t="s">
        <v>12</v>
      </c>
      <c r="P36">
        <v>650</v>
      </c>
      <c r="Q36" s="5">
        <v>71707</v>
      </c>
      <c r="Z36" s="56"/>
    </row>
    <row r="37" spans="14:26" ht="14.5" x14ac:dyDescent="0.35">
      <c r="N37" s="18" t="s">
        <v>29</v>
      </c>
      <c r="O37" s="18" t="s">
        <v>27</v>
      </c>
      <c r="P37">
        <v>655</v>
      </c>
      <c r="Q37" s="5">
        <v>84980</v>
      </c>
      <c r="Z37" s="56"/>
    </row>
    <row r="38" spans="14:26" ht="14.5" x14ac:dyDescent="0.35">
      <c r="N38" s="18" t="s">
        <v>28</v>
      </c>
      <c r="O38" s="18" t="s">
        <v>27</v>
      </c>
      <c r="P38">
        <v>655</v>
      </c>
      <c r="Q38" s="5">
        <v>70000</v>
      </c>
      <c r="Z38" s="56"/>
    </row>
    <row r="39" spans="14:26" ht="14.5" x14ac:dyDescent="0.35">
      <c r="N39" s="18" t="s">
        <v>41</v>
      </c>
      <c r="O39" s="18" t="s">
        <v>20</v>
      </c>
      <c r="P39">
        <v>670</v>
      </c>
      <c r="Q39" s="5">
        <v>95151</v>
      </c>
      <c r="Z39" s="56"/>
    </row>
    <row r="40" spans="14:26" ht="14.5" x14ac:dyDescent="0.35">
      <c r="N40" s="18" t="s">
        <v>54</v>
      </c>
      <c r="O40" s="18" t="s">
        <v>13</v>
      </c>
      <c r="P40">
        <v>685</v>
      </c>
      <c r="Q40" s="5">
        <v>101981</v>
      </c>
      <c r="Z40" s="56"/>
    </row>
    <row r="41" spans="14:26" ht="14.5" x14ac:dyDescent="0.35">
      <c r="N41" s="18" t="s">
        <v>9</v>
      </c>
      <c r="O41" s="18" t="s">
        <v>6</v>
      </c>
      <c r="P41">
        <v>760</v>
      </c>
      <c r="Q41" s="5">
        <v>83860</v>
      </c>
      <c r="Z41" s="56"/>
    </row>
    <row r="42" spans="14:26" ht="14.5" x14ac:dyDescent="0.35">
      <c r="N42" s="18" t="s">
        <v>24</v>
      </c>
      <c r="O42" s="18" t="s">
        <v>27</v>
      </c>
      <c r="P42">
        <v>810</v>
      </c>
      <c r="Q42" s="5">
        <v>114302</v>
      </c>
      <c r="Z42" s="56"/>
    </row>
    <row r="43" spans="14:26" ht="14.5" x14ac:dyDescent="0.35">
      <c r="N43" s="18" t="s">
        <v>19</v>
      </c>
      <c r="O43" s="18" t="s">
        <v>15</v>
      </c>
      <c r="P43">
        <v>820</v>
      </c>
      <c r="Q43" s="5">
        <v>118571</v>
      </c>
      <c r="Z43" s="56"/>
    </row>
    <row r="44" spans="14:26" ht="14.5" x14ac:dyDescent="0.35">
      <c r="N44" s="18" t="s">
        <v>22</v>
      </c>
      <c r="O44" s="18" t="s">
        <v>20</v>
      </c>
      <c r="P44">
        <v>835</v>
      </c>
      <c r="Q44" s="5">
        <v>126947</v>
      </c>
      <c r="Z44" s="56"/>
    </row>
    <row r="45" spans="14:26" ht="14.5" x14ac:dyDescent="0.35">
      <c r="N45" s="18" t="s">
        <v>50</v>
      </c>
      <c r="O45" s="18" t="s">
        <v>12</v>
      </c>
      <c r="P45">
        <v>985</v>
      </c>
      <c r="Q45" s="5">
        <v>171619</v>
      </c>
      <c r="Z45" s="56"/>
    </row>
  </sheetData>
  <sortState xmlns:xlrd2="http://schemas.microsoft.com/office/spreadsheetml/2017/richdata2" ref="W2:Z45">
    <sortCondition ref="Y2:Y45"/>
  </sortState>
  <conditionalFormatting sqref="S1:V45">
    <cfRule type="cellIs" dxfId="5" priority="1" operator="equal">
      <formula>TRUE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C857-D7B9-4642-98E0-4D558207FD93}">
  <dimension ref="A1:I14"/>
  <sheetViews>
    <sheetView workbookViewId="0">
      <selection activeCell="H15" sqref="H15"/>
    </sheetView>
  </sheetViews>
  <sheetFormatPr defaultRowHeight="13.5" x14ac:dyDescent="0.3"/>
  <cols>
    <col min="4" max="4" width="10.3828125" bestFit="1" customWidth="1"/>
    <col min="5" max="8" width="9.84375" customWidth="1"/>
  </cols>
  <sheetData>
    <row r="1" spans="1:9" ht="27" x14ac:dyDescent="0.3">
      <c r="A1" s="12" t="s">
        <v>119</v>
      </c>
      <c r="B1" s="12" t="s">
        <v>124</v>
      </c>
      <c r="C1" s="12" t="s">
        <v>120</v>
      </c>
      <c r="D1" s="12" t="s">
        <v>121</v>
      </c>
      <c r="E1" s="12"/>
      <c r="F1" s="12" t="s">
        <v>122</v>
      </c>
      <c r="G1" s="12" t="s">
        <v>123</v>
      </c>
      <c r="H1" s="12" t="s">
        <v>129</v>
      </c>
      <c r="I1" s="12"/>
    </row>
    <row r="2" spans="1:9" x14ac:dyDescent="0.3">
      <c r="A2">
        <v>1</v>
      </c>
      <c r="B2" s="19">
        <f t="shared" ref="B2:B12" si="0">C2*(1-G2)</f>
        <v>24942.197452229302</v>
      </c>
      <c r="C2" s="19">
        <f>AVERAGE(Data!Z3)</f>
        <v>38372.611464968155</v>
      </c>
      <c r="D2" s="19">
        <f t="shared" ref="D2:D12" si="1">C2*(1+G2)</f>
        <v>51803.025477707015</v>
      </c>
      <c r="G2">
        <v>0.35</v>
      </c>
      <c r="H2">
        <f>COUNTIF(Data!X:X, A2)</f>
        <v>1</v>
      </c>
    </row>
    <row r="3" spans="1:9" x14ac:dyDescent="0.3">
      <c r="A3">
        <v>2</v>
      </c>
      <c r="B3" s="19">
        <f t="shared" si="0"/>
        <v>27935.261146496821</v>
      </c>
      <c r="C3" s="19">
        <f t="shared" ref="C3:C12" si="2">C2*(1+F3)</f>
        <v>42977.32484076434</v>
      </c>
      <c r="D3" s="19">
        <f t="shared" si="1"/>
        <v>58019.388535031867</v>
      </c>
      <c r="F3" s="19">
        <v>0.12</v>
      </c>
      <c r="G3">
        <v>0.35</v>
      </c>
      <c r="H3">
        <f>COUNTIF(Data!X:X, A3)</f>
        <v>3</v>
      </c>
    </row>
    <row r="4" spans="1:9" x14ac:dyDescent="0.3">
      <c r="A4">
        <v>3</v>
      </c>
      <c r="B4" s="19">
        <f t="shared" si="0"/>
        <v>31287.492484076443</v>
      </c>
      <c r="C4" s="19">
        <f t="shared" si="2"/>
        <v>48134.603821656063</v>
      </c>
      <c r="D4" s="19">
        <f t="shared" si="1"/>
        <v>64981.715159235689</v>
      </c>
      <c r="F4" s="19">
        <v>0.12</v>
      </c>
      <c r="G4">
        <v>0.35</v>
      </c>
      <c r="H4">
        <f>COUNTIF(Data!X:X, A4)</f>
        <v>5</v>
      </c>
    </row>
    <row r="5" spans="1:9" x14ac:dyDescent="0.3">
      <c r="A5">
        <v>4</v>
      </c>
      <c r="B5" s="19">
        <f t="shared" si="0"/>
        <v>34416.241732484094</v>
      </c>
      <c r="C5" s="19">
        <f t="shared" si="2"/>
        <v>52948.064203821676</v>
      </c>
      <c r="D5" s="19">
        <f t="shared" si="1"/>
        <v>71479.886675159272</v>
      </c>
      <c r="F5" s="19">
        <v>0.1</v>
      </c>
      <c r="G5">
        <v>0.35</v>
      </c>
      <c r="H5">
        <f>COUNTIF(Data!X:X, A5)</f>
        <v>5</v>
      </c>
    </row>
    <row r="6" spans="1:9" x14ac:dyDescent="0.3">
      <c r="A6">
        <v>5</v>
      </c>
      <c r="B6" s="19">
        <f t="shared" si="0"/>
        <v>38890.353157707017</v>
      </c>
      <c r="C6" s="19">
        <f t="shared" si="2"/>
        <v>59831.312550318486</v>
      </c>
      <c r="D6" s="19">
        <f t="shared" si="1"/>
        <v>80772.271942929961</v>
      </c>
      <c r="F6">
        <v>0.13</v>
      </c>
      <c r="G6">
        <v>0.35</v>
      </c>
      <c r="H6">
        <f>COUNTIF(Data!X:X, A6)</f>
        <v>9</v>
      </c>
    </row>
    <row r="7" spans="1:9" x14ac:dyDescent="0.3">
      <c r="A7">
        <v>6</v>
      </c>
      <c r="B7" s="19">
        <f t="shared" si="0"/>
        <v>43168.292005054798</v>
      </c>
      <c r="C7" s="19">
        <f t="shared" si="2"/>
        <v>66412.756930853531</v>
      </c>
      <c r="D7" s="19">
        <f t="shared" si="1"/>
        <v>89657.221856652279</v>
      </c>
      <c r="F7">
        <v>0.11</v>
      </c>
      <c r="G7">
        <v>0.35</v>
      </c>
      <c r="H7">
        <f>COUNTIF(Data!X:X, A7)</f>
        <v>4</v>
      </c>
    </row>
    <row r="8" spans="1:9" x14ac:dyDescent="0.3">
      <c r="A8">
        <v>7</v>
      </c>
      <c r="B8" s="19">
        <f t="shared" si="0"/>
        <v>44463.340765206434</v>
      </c>
      <c r="C8" s="19">
        <f t="shared" si="2"/>
        <v>68405.139638779132</v>
      </c>
      <c r="D8" s="19">
        <f t="shared" si="1"/>
        <v>92346.93851235183</v>
      </c>
      <c r="F8">
        <v>0.03</v>
      </c>
      <c r="G8">
        <v>0.35</v>
      </c>
      <c r="H8">
        <f>COUNTIF(Data!X:X, A8)</f>
        <v>2</v>
      </c>
    </row>
    <row r="9" spans="1:9" x14ac:dyDescent="0.3">
      <c r="A9">
        <v>8</v>
      </c>
      <c r="B9" s="19">
        <f t="shared" si="0"/>
        <v>49354.308249379152</v>
      </c>
      <c r="C9" s="19">
        <f t="shared" si="2"/>
        <v>75929.704999044843</v>
      </c>
      <c r="D9" s="19">
        <f t="shared" si="1"/>
        <v>102505.10174871054</v>
      </c>
      <c r="F9">
        <v>0.11</v>
      </c>
      <c r="G9">
        <v>0.35</v>
      </c>
      <c r="H9">
        <f>COUNTIF(Data!X:X, A9)</f>
        <v>5</v>
      </c>
    </row>
    <row r="10" spans="1:9" x14ac:dyDescent="0.3">
      <c r="A10">
        <v>9</v>
      </c>
      <c r="B10" s="19">
        <f t="shared" si="0"/>
        <v>56757.454486786017</v>
      </c>
      <c r="C10" s="19">
        <f t="shared" si="2"/>
        <v>87319.160748901559</v>
      </c>
      <c r="D10" s="19">
        <f t="shared" si="1"/>
        <v>117880.86701101711</v>
      </c>
      <c r="F10">
        <v>0.15</v>
      </c>
      <c r="G10">
        <v>0.35</v>
      </c>
      <c r="H10">
        <f>COUNTIF(Data!X:X, A10)</f>
        <v>6</v>
      </c>
    </row>
    <row r="11" spans="1:9" x14ac:dyDescent="0.3">
      <c r="A11">
        <v>10</v>
      </c>
      <c r="B11" s="19">
        <f t="shared" si="0"/>
        <v>65271.072659803911</v>
      </c>
      <c r="C11" s="19">
        <f t="shared" si="2"/>
        <v>100417.03486123678</v>
      </c>
      <c r="D11" s="19">
        <f t="shared" si="1"/>
        <v>135562.99706266966</v>
      </c>
      <c r="F11">
        <v>0.15</v>
      </c>
      <c r="G11" s="19">
        <v>0.35</v>
      </c>
      <c r="H11">
        <f>COUNTIF(Data!X:X, A11)</f>
        <v>3</v>
      </c>
    </row>
    <row r="12" spans="1:9" x14ac:dyDescent="0.3">
      <c r="A12">
        <v>11</v>
      </c>
      <c r="B12" s="19">
        <f t="shared" si="0"/>
        <v>57739.795045211147</v>
      </c>
      <c r="C12" s="19">
        <f t="shared" si="2"/>
        <v>115479.59009042229</v>
      </c>
      <c r="D12" s="19">
        <f t="shared" si="1"/>
        <v>173219.38513563343</v>
      </c>
      <c r="F12">
        <v>0.15</v>
      </c>
      <c r="G12" s="19">
        <v>0.5</v>
      </c>
      <c r="H12">
        <f>COUNTIF(Data!X:X, A12)</f>
        <v>1</v>
      </c>
    </row>
    <row r="14" spans="1:9" ht="40.5" x14ac:dyDescent="0.3">
      <c r="C14" s="12" t="s">
        <v>125</v>
      </c>
      <c r="D14">
        <f>SUMPRODUCT(D2:D12,H2:H12)</f>
        <v>3978161.4993257574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6C1-00C4-41BD-B022-DFFD8E47603E}">
  <dimension ref="A1:M45"/>
  <sheetViews>
    <sheetView workbookViewId="0">
      <selection activeCell="J8" sqref="J8"/>
    </sheetView>
  </sheetViews>
  <sheetFormatPr defaultRowHeight="13.5" x14ac:dyDescent="0.3"/>
  <cols>
    <col min="1" max="1" width="41.61328125" customWidth="1"/>
    <col min="2" max="2" width="20.921875" customWidth="1"/>
    <col min="5" max="6" width="14.765625" customWidth="1"/>
    <col min="7" max="7" width="17.765625" customWidth="1"/>
    <col min="8" max="11" width="14.765625" customWidth="1"/>
    <col min="13" max="13" width="9.3828125" bestFit="1" customWidth="1"/>
  </cols>
  <sheetData>
    <row r="1" spans="1:13" ht="14.5" x14ac:dyDescent="0.35">
      <c r="A1" s="1" t="s">
        <v>45</v>
      </c>
      <c r="B1" s="1" t="s">
        <v>30</v>
      </c>
      <c r="C1" s="1" t="s">
        <v>62</v>
      </c>
      <c r="D1" s="11" t="s">
        <v>119</v>
      </c>
      <c r="E1" s="1" t="s">
        <v>126</v>
      </c>
      <c r="F1" s="1" t="s">
        <v>127</v>
      </c>
      <c r="G1" s="1" t="s">
        <v>128</v>
      </c>
      <c r="H1" s="1" t="s">
        <v>123</v>
      </c>
      <c r="I1" s="1" t="s">
        <v>224</v>
      </c>
      <c r="J1" s="1"/>
      <c r="K1" s="1"/>
      <c r="L1" s="1"/>
      <c r="M1" s="3"/>
    </row>
    <row r="2" spans="1:13" s="24" customFormat="1" ht="14.5" x14ac:dyDescent="0.35">
      <c r="A2" s="23" t="str">
        <f>Data!A3</f>
        <v xml:space="preserve">Administrative Clerk </v>
      </c>
      <c r="B2" s="23" t="str">
        <f>Data!B3</f>
        <v>Quality Assurance</v>
      </c>
      <c r="C2" s="26">
        <f>Data!C3</f>
        <v>36260</v>
      </c>
      <c r="D2" s="24">
        <f>Data!X3</f>
        <v>1</v>
      </c>
      <c r="E2" s="25">
        <f>VLOOKUP(D2, 'Pay Structure'!$A$1:$D$12, 3, FALSE)</f>
        <v>38372.611464968155</v>
      </c>
      <c r="F2" s="25">
        <f>C2/E2</f>
        <v>0.94494480869781716</v>
      </c>
      <c r="G2" s="25">
        <f>F2</f>
        <v>0.94494480869781716</v>
      </c>
      <c r="H2" s="25">
        <f>VLOOKUP(D2, 'Pay Structure'!$A$1:$G$12, 7, FALSE)</f>
        <v>0.35</v>
      </c>
      <c r="I2" s="25">
        <v>0</v>
      </c>
      <c r="J2" s="25"/>
      <c r="K2" s="25"/>
      <c r="M2" s="25"/>
    </row>
    <row r="3" spans="1:13" ht="14.5" x14ac:dyDescent="0.35">
      <c r="A3" s="18" t="str">
        <f>Data!A4</f>
        <v>Receptionist</v>
      </c>
      <c r="B3" s="18" t="str">
        <f>Data!B4</f>
        <v>Ops</v>
      </c>
      <c r="C3" s="5">
        <f>Data!C4</f>
        <v>44526</v>
      </c>
      <c r="D3">
        <f>Data!X4</f>
        <v>2</v>
      </c>
      <c r="E3" s="19">
        <f>VLOOKUP(D3, 'Pay Structure'!$A$1:$D$12, 3, FALSE)</f>
        <v>42977.32484076434</v>
      </c>
      <c r="F3" s="19">
        <f t="shared" ref="F3:F45" si="0">C3/E3</f>
        <v>1.0360347035320059</v>
      </c>
      <c r="G3" s="19"/>
      <c r="H3" s="19">
        <f>VLOOKUP(D3, 'Pay Structure'!$A$1:$G$12, 7, FALSE)</f>
        <v>0.35</v>
      </c>
      <c r="I3" s="19">
        <v>0</v>
      </c>
      <c r="J3" s="19"/>
      <c r="K3" s="19"/>
      <c r="M3" s="19"/>
    </row>
    <row r="4" spans="1:13" ht="14.5" x14ac:dyDescent="0.35">
      <c r="A4" s="18" t="str">
        <f>Data!A5</f>
        <v xml:space="preserve">Administrative Clerk </v>
      </c>
      <c r="B4" s="18" t="str">
        <f>Data!B5</f>
        <v>Ops</v>
      </c>
      <c r="C4" s="5">
        <f>Data!C5</f>
        <v>36113</v>
      </c>
      <c r="D4">
        <f>Data!X5</f>
        <v>2</v>
      </c>
      <c r="E4" s="19">
        <f>VLOOKUP(D4, 'Pay Structure'!$A$1:$D$12, 3, FALSE)</f>
        <v>42977.32484076434</v>
      </c>
      <c r="F4" s="19">
        <f t="shared" si="0"/>
        <v>0.8402803137189806</v>
      </c>
      <c r="G4" s="19"/>
      <c r="H4" s="19">
        <f>VLOOKUP(D4, 'Pay Structure'!$A$1:$G$12, 7, FALSE)</f>
        <v>0.35</v>
      </c>
      <c r="I4" s="19">
        <v>0</v>
      </c>
      <c r="J4" s="19"/>
      <c r="K4" s="19"/>
      <c r="M4" s="19"/>
    </row>
    <row r="5" spans="1:13" s="24" customFormat="1" ht="14.5" x14ac:dyDescent="0.35">
      <c r="A5" s="23" t="str">
        <f>Data!A6</f>
        <v xml:space="preserve">Administrative Clerk </v>
      </c>
      <c r="B5" s="23" t="str">
        <f>Data!B6</f>
        <v>Ops</v>
      </c>
      <c r="C5" s="26">
        <f>Data!C6</f>
        <v>32008</v>
      </c>
      <c r="D5" s="24">
        <f>Data!X6</f>
        <v>2</v>
      </c>
      <c r="E5" s="25">
        <f>VLOOKUP(D5, 'Pay Structure'!$A$1:$D$12, 3, FALSE)</f>
        <v>42977.32484076434</v>
      </c>
      <c r="F5" s="25">
        <f t="shared" si="0"/>
        <v>0.74476482932786348</v>
      </c>
      <c r="G5" s="25">
        <f>AVERAGE(F3:F5)</f>
        <v>0.87369328219294984</v>
      </c>
      <c r="H5" s="25">
        <f>VLOOKUP(D5, 'Pay Structure'!$A$1:$G$12, 7, FALSE)</f>
        <v>0.35</v>
      </c>
      <c r="I5" s="25">
        <v>0</v>
      </c>
      <c r="J5" s="25"/>
      <c r="K5" s="25"/>
      <c r="M5" s="25"/>
    </row>
    <row r="6" spans="1:13" ht="14.5" x14ac:dyDescent="0.35">
      <c r="A6" s="18" t="str">
        <f>Data!A7</f>
        <v>Meetings and District Programs Coordinator</v>
      </c>
      <c r="B6" s="18" t="str">
        <f>Data!B7</f>
        <v>Continuing Education</v>
      </c>
      <c r="C6" s="5">
        <f>Data!C7</f>
        <v>42908</v>
      </c>
      <c r="D6">
        <f>Data!X7</f>
        <v>3</v>
      </c>
      <c r="E6" s="19">
        <f>VLOOKUP(D6, 'Pay Structure'!$A$1:$D$12, 3, FALSE)</f>
        <v>48134.603821656063</v>
      </c>
      <c r="F6" s="19">
        <f t="shared" si="0"/>
        <v>0.89141691409736745</v>
      </c>
      <c r="G6" s="19"/>
      <c r="H6" s="19">
        <f>VLOOKUP(D6, 'Pay Structure'!$A$1:$G$12, 7, FALSE)</f>
        <v>0.35</v>
      </c>
      <c r="I6" s="19">
        <v>0</v>
      </c>
      <c r="J6" s="19"/>
      <c r="K6" s="19"/>
      <c r="M6" s="19"/>
    </row>
    <row r="7" spans="1:13" ht="14.5" x14ac:dyDescent="0.35">
      <c r="A7" s="18" t="str">
        <f>Data!A8</f>
        <v>Circulation Technician &amp; Receptionist</v>
      </c>
      <c r="B7" s="18" t="str">
        <f>Data!B8</f>
        <v>Ops</v>
      </c>
      <c r="C7" s="5">
        <f>Data!C8</f>
        <v>46481</v>
      </c>
      <c r="D7">
        <f>Data!X8</f>
        <v>3</v>
      </c>
      <c r="E7" s="19">
        <f>VLOOKUP(D7, 'Pay Structure'!$A$1:$D$12, 3, FALSE)</f>
        <v>48134.603821656063</v>
      </c>
      <c r="F7" s="19">
        <f t="shared" si="0"/>
        <v>0.96564625673906357</v>
      </c>
      <c r="G7" s="19"/>
      <c r="H7" s="19">
        <f>VLOOKUP(D7, 'Pay Structure'!$A$1:$G$12, 7, FALSE)</f>
        <v>0.35</v>
      </c>
      <c r="I7" s="19">
        <v>0</v>
      </c>
      <c r="J7" s="19"/>
      <c r="K7" s="19"/>
      <c r="M7" s="19"/>
    </row>
    <row r="8" spans="1:13" ht="14.5" x14ac:dyDescent="0.35">
      <c r="A8" s="18" t="str">
        <f>Data!A9</f>
        <v>Seminar Coordinator</v>
      </c>
      <c r="B8" s="18" t="str">
        <f>Data!B9</f>
        <v>Continuing Education</v>
      </c>
      <c r="C8" s="5">
        <f>Data!C9</f>
        <v>38513</v>
      </c>
      <c r="D8">
        <f>Data!X9</f>
        <v>3</v>
      </c>
      <c r="E8" s="19">
        <f>VLOOKUP(D8, 'Pay Structure'!$A$1:$D$12, 3, FALSE)</f>
        <v>48134.603821656063</v>
      </c>
      <c r="F8" s="19">
        <f t="shared" si="0"/>
        <v>0.80011045988235097</v>
      </c>
      <c r="G8" s="19"/>
      <c r="H8" s="19">
        <f>VLOOKUP(D8, 'Pay Structure'!$A$1:$G$12, 7, FALSE)</f>
        <v>0.35</v>
      </c>
      <c r="I8" s="19">
        <v>0</v>
      </c>
      <c r="J8" s="19"/>
      <c r="K8" s="19"/>
      <c r="M8" s="19"/>
    </row>
    <row r="9" spans="1:13" ht="14.5" x14ac:dyDescent="0.35">
      <c r="A9" s="18" t="str">
        <f>Data!A10</f>
        <v>Seminar Coordinator</v>
      </c>
      <c r="B9" s="18" t="str">
        <f>Data!B10</f>
        <v>Continuing Education</v>
      </c>
      <c r="C9" s="5">
        <f>Data!C10</f>
        <v>37370</v>
      </c>
      <c r="D9">
        <f>Data!X10</f>
        <v>3</v>
      </c>
      <c r="E9" s="19">
        <f>VLOOKUP(D9, 'Pay Structure'!$A$1:$D$12, 3, FALSE)</f>
        <v>48134.603821656063</v>
      </c>
      <c r="F9" s="19">
        <f t="shared" si="0"/>
        <v>0.77636454926397458</v>
      </c>
      <c r="G9" s="19"/>
      <c r="H9" s="19">
        <f>VLOOKUP(D9, 'Pay Structure'!$A$1:$G$12, 7, FALSE)</f>
        <v>0.35</v>
      </c>
      <c r="I9" s="19">
        <v>0</v>
      </c>
      <c r="J9" s="19"/>
      <c r="K9" s="19"/>
      <c r="M9" s="19"/>
    </row>
    <row r="10" spans="1:13" s="24" customFormat="1" ht="14.5" x14ac:dyDescent="0.35">
      <c r="A10" s="23" t="str">
        <f>Data!A11</f>
        <v>Secretary (Director Continuing Education)</v>
      </c>
      <c r="B10" s="23" t="str">
        <f>Data!B11</f>
        <v>Continuing Education</v>
      </c>
      <c r="C10" s="26">
        <f>Data!C11</f>
        <v>43898</v>
      </c>
      <c r="D10" s="24">
        <f>Data!X11</f>
        <v>3</v>
      </c>
      <c r="E10" s="25">
        <f>VLOOKUP(D10, 'Pay Structure'!$A$1:$D$12, 3, FALSE)</f>
        <v>48134.603821656063</v>
      </c>
      <c r="F10" s="25">
        <f t="shared" si="0"/>
        <v>0.91198423825501629</v>
      </c>
      <c r="G10" s="25">
        <f>AVERAGE(F6:F10)</f>
        <v>0.86910448364755444</v>
      </c>
      <c r="H10" s="25">
        <f>VLOOKUP(D10, 'Pay Structure'!$A$1:$G$12, 7, FALSE)</f>
        <v>0.35</v>
      </c>
      <c r="I10" s="25">
        <v>0</v>
      </c>
      <c r="J10" s="25"/>
      <c r="K10" s="25"/>
      <c r="M10" s="25"/>
    </row>
    <row r="11" spans="1:13" ht="14.5" x14ac:dyDescent="0.35">
      <c r="A11" s="18" t="str">
        <f>Data!A12</f>
        <v>Junior Systems Administrator</v>
      </c>
      <c r="B11" s="18" t="str">
        <f>Data!B12</f>
        <v>IT</v>
      </c>
      <c r="C11" s="5">
        <f>Data!C12</f>
        <v>41500</v>
      </c>
      <c r="D11">
        <f>Data!X12</f>
        <v>4</v>
      </c>
      <c r="E11" s="19">
        <f>VLOOKUP(D11, 'Pay Structure'!$A$1:$D$12, 3, FALSE)</f>
        <v>52948.064203821676</v>
      </c>
      <c r="F11" s="19">
        <f t="shared" si="0"/>
        <v>0.78378691693519209</v>
      </c>
      <c r="G11" s="19"/>
      <c r="H11" s="19">
        <f>VLOOKUP(D11, 'Pay Structure'!$A$1:$G$12, 7, FALSE)</f>
        <v>0.35</v>
      </c>
      <c r="I11" s="19">
        <v>0</v>
      </c>
      <c r="J11" s="19"/>
      <c r="K11" s="19"/>
      <c r="M11" s="19"/>
    </row>
    <row r="12" spans="1:13" ht="14.5" x14ac:dyDescent="0.35">
      <c r="A12" s="18" t="str">
        <f>Data!A13</f>
        <v>Administrative Assistant, Exec Office</v>
      </c>
      <c r="B12" s="18" t="str">
        <f>Data!B13</f>
        <v>Exec</v>
      </c>
      <c r="C12" s="5">
        <f>Data!C13</f>
        <v>37258</v>
      </c>
      <c r="D12">
        <f>Data!X13</f>
        <v>4</v>
      </c>
      <c r="E12" s="19">
        <f>VLOOKUP(D12, 'Pay Structure'!$A$1:$D$12, 3, FALSE)</f>
        <v>52948.064203821676</v>
      </c>
      <c r="F12" s="19">
        <f t="shared" si="0"/>
        <v>0.70367067352220214</v>
      </c>
      <c r="G12" s="19"/>
      <c r="H12" s="19">
        <f>VLOOKUP(D12, 'Pay Structure'!$A$1:$G$12, 7, FALSE)</f>
        <v>0.35</v>
      </c>
      <c r="I12" s="19">
        <v>0</v>
      </c>
      <c r="J12" s="19"/>
      <c r="K12" s="19"/>
      <c r="M12" s="19"/>
    </row>
    <row r="13" spans="1:13" ht="14.5" x14ac:dyDescent="0.35">
      <c r="A13" s="18" t="str">
        <f>Data!A14</f>
        <v>Junior Accountant</v>
      </c>
      <c r="B13" s="18" t="str">
        <f>Data!B14</f>
        <v>Ops</v>
      </c>
      <c r="C13" s="5">
        <f>Data!C14</f>
        <v>32810</v>
      </c>
      <c r="D13">
        <f>Data!X14</f>
        <v>4</v>
      </c>
      <c r="E13" s="19">
        <f>VLOOKUP(D13, 'Pay Structure'!$A$1:$D$12, 3, FALSE)</f>
        <v>52948.064203821676</v>
      </c>
      <c r="F13" s="19">
        <f t="shared" si="0"/>
        <v>0.61966382517213625</v>
      </c>
      <c r="G13" s="19"/>
      <c r="H13" s="19">
        <f>VLOOKUP(D13, 'Pay Structure'!$A$1:$G$12, 7, FALSE)</f>
        <v>0.35</v>
      </c>
      <c r="I13" s="19">
        <f>'Pay Structure'!B5-'Internal Compa-ratios'!C13</f>
        <v>1606.2417324840935</v>
      </c>
      <c r="J13" s="19"/>
      <c r="K13" s="19"/>
      <c r="M13" s="19"/>
    </row>
    <row r="14" spans="1:13" ht="14.5" x14ac:dyDescent="0.35">
      <c r="A14" s="18" t="str">
        <f>Data!A15</f>
        <v>Business Research Coordinator</v>
      </c>
      <c r="B14" s="18" t="str">
        <f>Data!B15</f>
        <v>Ops</v>
      </c>
      <c r="C14" s="5">
        <f>Data!C15</f>
        <v>58000</v>
      </c>
      <c r="D14">
        <f>Data!X15</f>
        <v>4</v>
      </c>
      <c r="E14" s="19">
        <f>VLOOKUP(D14, 'Pay Structure'!$A$1:$D$12, 3, FALSE)</f>
        <v>52948.064203821676</v>
      </c>
      <c r="F14" s="19">
        <f t="shared" si="0"/>
        <v>1.0954130405359312</v>
      </c>
      <c r="G14" s="19"/>
      <c r="H14" s="19">
        <f>VLOOKUP(D14, 'Pay Structure'!$A$1:$G$12, 7, FALSE)</f>
        <v>0.35</v>
      </c>
      <c r="I14" s="19">
        <v>0</v>
      </c>
      <c r="J14" s="19"/>
      <c r="K14" s="19"/>
      <c r="M14" s="19"/>
    </row>
    <row r="15" spans="1:13" s="24" customFormat="1" ht="14.5" x14ac:dyDescent="0.35">
      <c r="A15" s="23" t="str">
        <f>Data!A16</f>
        <v>Administrative Clerk/mailroom clerk</v>
      </c>
      <c r="B15" s="23" t="str">
        <f>Data!B16</f>
        <v>Ops</v>
      </c>
      <c r="C15" s="26">
        <f>Data!C16</f>
        <v>40429</v>
      </c>
      <c r="D15" s="24">
        <f>Data!X16</f>
        <v>4</v>
      </c>
      <c r="E15" s="25">
        <f>VLOOKUP(D15, 'Pay Structure'!$A$1:$D$12, 3, FALSE)</f>
        <v>52948.064203821676</v>
      </c>
      <c r="F15" s="25">
        <f t="shared" si="0"/>
        <v>0.76355954854874419</v>
      </c>
      <c r="G15" s="25">
        <f>AVERAGE(F11:F15)</f>
        <v>0.79321880094284114</v>
      </c>
      <c r="H15" s="25">
        <f>VLOOKUP(D15, 'Pay Structure'!$A$1:$G$12, 7, FALSE)</f>
        <v>0.35</v>
      </c>
      <c r="I15" s="25">
        <v>0</v>
      </c>
      <c r="J15" s="25"/>
      <c r="K15" s="25"/>
      <c r="M15" s="25"/>
    </row>
    <row r="16" spans="1:13" ht="14.5" x14ac:dyDescent="0.35">
      <c r="A16" s="18" t="str">
        <f>Data!A17</f>
        <v>Accountant</v>
      </c>
      <c r="B16" s="18" t="str">
        <f>Data!B17</f>
        <v>Ops</v>
      </c>
      <c r="C16" s="5">
        <f>Data!C17</f>
        <v>41530</v>
      </c>
      <c r="D16">
        <f>Data!X17</f>
        <v>5</v>
      </c>
      <c r="E16" s="19">
        <f>VLOOKUP(D16, 'Pay Structure'!$A$1:$D$12, 3, FALSE)</f>
        <v>59831.312550318486</v>
      </c>
      <c r="F16" s="19">
        <f t="shared" si="0"/>
        <v>0.69411815034264923</v>
      </c>
      <c r="G16" s="19"/>
      <c r="H16" s="19">
        <f>VLOOKUP(D16, 'Pay Structure'!$A$1:$G$12, 7, FALSE)</f>
        <v>0.35</v>
      </c>
      <c r="I16" s="19">
        <v>0</v>
      </c>
      <c r="J16" s="19"/>
      <c r="K16" s="19"/>
      <c r="M16" s="19"/>
    </row>
    <row r="17" spans="1:13" ht="14.5" x14ac:dyDescent="0.35">
      <c r="A17" s="18" t="str">
        <f>Data!A18</f>
        <v>Programmer</v>
      </c>
      <c r="B17" s="18" t="str">
        <f>Data!B18</f>
        <v>IT</v>
      </c>
      <c r="C17" s="5">
        <f>Data!C18</f>
        <v>77289</v>
      </c>
      <c r="D17">
        <f>Data!X18</f>
        <v>5</v>
      </c>
      <c r="E17" s="19">
        <f>VLOOKUP(D17, 'Pay Structure'!$A$1:$D$12, 3, FALSE)</f>
        <v>59831.312550318486</v>
      </c>
      <c r="F17" s="19">
        <f t="shared" si="0"/>
        <v>1.2917817895938601</v>
      </c>
      <c r="G17" s="19"/>
      <c r="H17" s="19">
        <f>VLOOKUP(D17, 'Pay Structure'!$A$1:$G$12, 7, FALSE)</f>
        <v>0.35</v>
      </c>
      <c r="I17" s="19">
        <v>0</v>
      </c>
      <c r="J17" s="19"/>
      <c r="K17" s="19"/>
      <c r="M17" s="19"/>
    </row>
    <row r="18" spans="1:13" ht="14.5" x14ac:dyDescent="0.35">
      <c r="A18" s="18" t="str">
        <f>Data!A19</f>
        <v>Career Consultant</v>
      </c>
      <c r="B18" s="18" t="str">
        <f>Data!B19</f>
        <v>Ops</v>
      </c>
      <c r="C18" s="5">
        <f>Data!C19</f>
        <v>68700</v>
      </c>
      <c r="D18">
        <f>Data!X19</f>
        <v>5</v>
      </c>
      <c r="E18" s="19">
        <f>VLOOKUP(D18, 'Pay Structure'!$A$1:$D$12, 3, FALSE)</f>
        <v>59831.312550318486</v>
      </c>
      <c r="F18" s="19">
        <f t="shared" si="0"/>
        <v>1.1482281947637851</v>
      </c>
      <c r="G18" s="19"/>
      <c r="H18" s="19">
        <f>VLOOKUP(D18, 'Pay Structure'!$A$1:$G$12, 7, FALSE)</f>
        <v>0.35</v>
      </c>
      <c r="I18" s="19">
        <v>0</v>
      </c>
      <c r="J18" s="19"/>
      <c r="K18" s="19"/>
      <c r="M18" s="19"/>
    </row>
    <row r="19" spans="1:13" ht="14.5" x14ac:dyDescent="0.35">
      <c r="A19" s="18" t="str">
        <f>Data!A20</f>
        <v>Associate Coordinator, Professional Programs</v>
      </c>
      <c r="B19" s="18" t="str">
        <f>Data!B20</f>
        <v>Continuing Education</v>
      </c>
      <c r="C19" s="5">
        <f>Data!C20</f>
        <v>39104</v>
      </c>
      <c r="D19">
        <f>Data!X20</f>
        <v>5</v>
      </c>
      <c r="E19" s="19">
        <f>VLOOKUP(D19, 'Pay Structure'!$A$1:$D$12, 3, FALSE)</f>
        <v>59831.312550318486</v>
      </c>
      <c r="F19" s="19">
        <f t="shared" si="0"/>
        <v>0.65357081991329047</v>
      </c>
      <c r="G19" s="19"/>
      <c r="H19" s="19">
        <f>VLOOKUP(D19, 'Pay Structure'!$A$1:$G$12, 7, FALSE)</f>
        <v>0.35</v>
      </c>
      <c r="I19" s="19">
        <v>0</v>
      </c>
      <c r="J19" s="19"/>
      <c r="K19" s="19"/>
      <c r="M19" s="19"/>
    </row>
    <row r="20" spans="1:13" ht="14.5" x14ac:dyDescent="0.35">
      <c r="A20" s="18" t="str">
        <f>Data!A21</f>
        <v>Secretary (Director Operations)</v>
      </c>
      <c r="B20" s="18" t="str">
        <f>Data!B21</f>
        <v>Ops</v>
      </c>
      <c r="C20" s="5">
        <f>Data!C21</f>
        <v>49508</v>
      </c>
      <c r="D20">
        <f>Data!X21</f>
        <v>5</v>
      </c>
      <c r="E20" s="19">
        <f>VLOOKUP(D20, 'Pay Structure'!$A$1:$D$12, 3, FALSE)</f>
        <v>59831.312550318486</v>
      </c>
      <c r="F20" s="19">
        <f t="shared" si="0"/>
        <v>0.82745970111157896</v>
      </c>
      <c r="G20" s="19"/>
      <c r="H20" s="19">
        <f>VLOOKUP(D20, 'Pay Structure'!$A$1:$G$12, 7, FALSE)</f>
        <v>0.35</v>
      </c>
      <c r="I20" s="19">
        <v>0</v>
      </c>
      <c r="J20" s="19"/>
      <c r="K20" s="19"/>
      <c r="M20" s="19"/>
    </row>
    <row r="21" spans="1:13" ht="14.5" x14ac:dyDescent="0.35">
      <c r="A21" s="18" t="str">
        <f>Data!A22</f>
        <v>Business Analyst</v>
      </c>
      <c r="B21" s="18" t="str">
        <f>Data!B22</f>
        <v>Ops</v>
      </c>
      <c r="C21" s="5">
        <f>Data!C22</f>
        <v>63348</v>
      </c>
      <c r="D21">
        <f>Data!X22</f>
        <v>5</v>
      </c>
      <c r="E21" s="19">
        <f>VLOOKUP(D21, 'Pay Structure'!$A$1:$D$12, 3, FALSE)</f>
        <v>59831.312550318486</v>
      </c>
      <c r="F21" s="19">
        <f t="shared" si="0"/>
        <v>1.0587767057044579</v>
      </c>
      <c r="G21" s="19"/>
      <c r="H21" s="19">
        <f>VLOOKUP(D21, 'Pay Structure'!$A$1:$G$12, 7, FALSE)</f>
        <v>0.35</v>
      </c>
      <c r="I21" s="19">
        <v>0</v>
      </c>
      <c r="J21" s="19"/>
      <c r="K21" s="19"/>
      <c r="M21" s="19"/>
    </row>
    <row r="22" spans="1:13" ht="14.5" x14ac:dyDescent="0.35">
      <c r="A22" s="18" t="str">
        <f>Data!A23</f>
        <v>Peer Review Administrator, Audit</v>
      </c>
      <c r="B22" s="18" t="str">
        <f>Data!B23</f>
        <v>Quality Assurance</v>
      </c>
      <c r="C22" s="5">
        <f>Data!C23</f>
        <v>56000</v>
      </c>
      <c r="D22">
        <f>Data!X23</f>
        <v>5</v>
      </c>
      <c r="E22" s="19">
        <f>VLOOKUP(D22, 'Pay Structure'!$A$1:$D$12, 3, FALSE)</f>
        <v>59831.312550318486</v>
      </c>
      <c r="F22" s="19">
        <f t="shared" si="0"/>
        <v>0.93596475846829652</v>
      </c>
      <c r="G22" s="19"/>
      <c r="H22" s="19">
        <f>VLOOKUP(D22, 'Pay Structure'!$A$1:$G$12, 7, FALSE)</f>
        <v>0.35</v>
      </c>
      <c r="I22" s="19">
        <v>0</v>
      </c>
      <c r="J22" s="19"/>
      <c r="K22" s="19"/>
      <c r="M22" s="19"/>
    </row>
    <row r="23" spans="1:13" ht="14.5" x14ac:dyDescent="0.35">
      <c r="A23" s="18" t="str">
        <f>Data!A24</f>
        <v>Peer Review Administrator, Audit</v>
      </c>
      <c r="B23" s="18" t="str">
        <f>Data!B24</f>
        <v>Quality Assurance</v>
      </c>
      <c r="C23" s="5">
        <f>Data!C24</f>
        <v>54390</v>
      </c>
      <c r="D23">
        <f>Data!X24</f>
        <v>5</v>
      </c>
      <c r="E23" s="19">
        <f>VLOOKUP(D23, 'Pay Structure'!$A$1:$D$12, 3, FALSE)</f>
        <v>59831.312550318486</v>
      </c>
      <c r="F23" s="19">
        <f t="shared" si="0"/>
        <v>0.90905577166233298</v>
      </c>
      <c r="G23" s="19"/>
      <c r="H23" s="19">
        <f>VLOOKUP(D23, 'Pay Structure'!$A$1:$G$12, 7, FALSE)</f>
        <v>0.35</v>
      </c>
      <c r="I23" s="19">
        <v>0</v>
      </c>
      <c r="J23" s="19"/>
      <c r="K23" s="19"/>
      <c r="M23" s="19"/>
    </row>
    <row r="24" spans="1:13" s="24" customFormat="1" ht="14.5" x14ac:dyDescent="0.35">
      <c r="A24" s="23" t="str">
        <f>Data!A25</f>
        <v>Peer Review Administrator, Tax</v>
      </c>
      <c r="B24" s="23" t="str">
        <f>Data!B25</f>
        <v>Quality Assurance</v>
      </c>
      <c r="C24" s="26">
        <f>Data!C25</f>
        <v>58700</v>
      </c>
      <c r="D24" s="24">
        <f>Data!X25</f>
        <v>5</v>
      </c>
      <c r="E24" s="25">
        <f>VLOOKUP(D24, 'Pay Structure'!$A$1:$D$12, 3, FALSE)</f>
        <v>59831.312550318486</v>
      </c>
      <c r="F24" s="25">
        <f t="shared" si="0"/>
        <v>0.98109163075158934</v>
      </c>
      <c r="G24" s="25">
        <f>AVERAGE(F16:F24)</f>
        <v>0.94444972470131561</v>
      </c>
      <c r="H24" s="25">
        <f>VLOOKUP(D24, 'Pay Structure'!$A$1:$G$12, 7, FALSE)</f>
        <v>0.35</v>
      </c>
      <c r="I24" s="25">
        <v>0</v>
      </c>
      <c r="J24" s="25"/>
      <c r="K24" s="25"/>
      <c r="M24" s="25"/>
    </row>
    <row r="25" spans="1:13" ht="14.5" x14ac:dyDescent="0.35">
      <c r="A25" s="18" t="str">
        <f>Data!A26</f>
        <v>Information Officer</v>
      </c>
      <c r="B25" s="18" t="str">
        <f>Data!B26</f>
        <v>Marketing</v>
      </c>
      <c r="C25" s="5">
        <f>Data!C26</f>
        <v>55233</v>
      </c>
      <c r="D25">
        <f>Data!X26</f>
        <v>6</v>
      </c>
      <c r="E25" s="19">
        <f>VLOOKUP(D25, 'Pay Structure'!$A$1:$D$12, 3, FALSE)</f>
        <v>66412.756930853531</v>
      </c>
      <c r="F25" s="19">
        <f t="shared" si="0"/>
        <v>0.83166250811582065</v>
      </c>
      <c r="G25" s="19"/>
      <c r="H25" s="19">
        <f>VLOOKUP(D25, 'Pay Structure'!$A$1:$G$12, 7, FALSE)</f>
        <v>0.35</v>
      </c>
      <c r="I25" s="19">
        <v>0</v>
      </c>
      <c r="J25" s="19"/>
      <c r="K25" s="19"/>
      <c r="M25" s="19"/>
    </row>
    <row r="26" spans="1:13" ht="14.5" x14ac:dyDescent="0.35">
      <c r="A26" s="18" t="str">
        <f>Data!A27</f>
        <v>Web Developer</v>
      </c>
      <c r="B26" s="18" t="str">
        <f>Data!B27</f>
        <v>IT</v>
      </c>
      <c r="C26" s="5">
        <f>Data!C27</f>
        <v>59000</v>
      </c>
      <c r="D26">
        <f>Data!X27</f>
        <v>6</v>
      </c>
      <c r="E26" s="19">
        <f>VLOOKUP(D26, 'Pay Structure'!$A$1:$D$12, 3, FALSE)</f>
        <v>66412.756930853531</v>
      </c>
      <c r="F26" s="19">
        <f t="shared" si="0"/>
        <v>0.88838353844320284</v>
      </c>
      <c r="G26" s="19"/>
      <c r="H26" s="19">
        <f>VLOOKUP(D26, 'Pay Structure'!$A$1:$G$12, 7, FALSE)</f>
        <v>0.35</v>
      </c>
      <c r="I26" s="19">
        <v>0</v>
      </c>
      <c r="J26" s="19"/>
      <c r="K26" s="19"/>
      <c r="M26" s="19"/>
    </row>
    <row r="27" spans="1:13" ht="14.5" x14ac:dyDescent="0.35">
      <c r="A27" s="18" t="str">
        <f>Data!A28</f>
        <v>Communications Specialist</v>
      </c>
      <c r="B27" s="18" t="str">
        <f>Data!B28</f>
        <v>Marketing</v>
      </c>
      <c r="C27" s="5">
        <f>Data!C28</f>
        <v>67040</v>
      </c>
      <c r="D27">
        <f>Data!X28</f>
        <v>6</v>
      </c>
      <c r="E27" s="19">
        <f>VLOOKUP(D27, 'Pay Structure'!$A$1:$D$12, 3, FALSE)</f>
        <v>66412.756930853531</v>
      </c>
      <c r="F27" s="19">
        <f t="shared" si="0"/>
        <v>1.0094446172412257</v>
      </c>
      <c r="G27" s="19"/>
      <c r="H27" s="19">
        <f>VLOOKUP(D27, 'Pay Structure'!$A$1:$G$12, 7, FALSE)</f>
        <v>0.35</v>
      </c>
      <c r="I27" s="19">
        <v>0</v>
      </c>
      <c r="J27" s="19"/>
      <c r="K27" s="19"/>
      <c r="M27" s="19"/>
    </row>
    <row r="28" spans="1:13" s="24" customFormat="1" ht="14.5" x14ac:dyDescent="0.35">
      <c r="A28" s="23" t="str">
        <f>Data!A29</f>
        <v>Senior Accountant</v>
      </c>
      <c r="B28" s="23" t="str">
        <f>Data!B29</f>
        <v>Ops</v>
      </c>
      <c r="C28" s="26">
        <f>Data!C29</f>
        <v>51082</v>
      </c>
      <c r="D28" s="24">
        <f>Data!X29</f>
        <v>6</v>
      </c>
      <c r="E28" s="25">
        <f>VLOOKUP(D28, 'Pay Structure'!$A$1:$D$12, 3, FALSE)</f>
        <v>66412.756930853531</v>
      </c>
      <c r="F28" s="25">
        <f t="shared" si="0"/>
        <v>0.76915945611450309</v>
      </c>
      <c r="G28" s="25">
        <f>AVERAGE(F25:F28)</f>
        <v>0.8746625299786881</v>
      </c>
      <c r="H28" s="25">
        <f>VLOOKUP(D28, 'Pay Structure'!$A$1:$G$12, 7, FALSE)</f>
        <v>0.35</v>
      </c>
      <c r="I28" s="25">
        <v>0</v>
      </c>
      <c r="J28" s="25"/>
      <c r="K28" s="25"/>
      <c r="M28" s="25"/>
    </row>
    <row r="29" spans="1:13" ht="14.5" x14ac:dyDescent="0.35">
      <c r="A29" s="18" t="str">
        <f>Data!A30</f>
        <v>Coordinator, Audit and Assurance</v>
      </c>
      <c r="B29" s="18" t="str">
        <f>Data!B30</f>
        <v>Quality Assurance</v>
      </c>
      <c r="C29" s="5">
        <f>Data!C30</f>
        <v>64755</v>
      </c>
      <c r="D29">
        <f>Data!X30</f>
        <v>7</v>
      </c>
      <c r="E29" s="19">
        <f>VLOOKUP(D29, 'Pay Structure'!$A$1:$D$12, 3, FALSE)</f>
        <v>68405.139638779132</v>
      </c>
      <c r="F29" s="19">
        <f t="shared" si="0"/>
        <v>0.94663939496280403</v>
      </c>
      <c r="G29" s="19"/>
      <c r="H29" s="19">
        <f>VLOOKUP(D29, 'Pay Structure'!$A$1:$G$12, 7, FALSE)</f>
        <v>0.35</v>
      </c>
      <c r="I29" s="19">
        <v>0</v>
      </c>
      <c r="J29" s="19"/>
      <c r="K29" s="19"/>
      <c r="M29" s="19"/>
    </row>
    <row r="30" spans="1:13" s="24" customFormat="1" ht="14.5" x14ac:dyDescent="0.35">
      <c r="A30" s="23" t="str">
        <f>Data!A31</f>
        <v>Marketing Coordinator</v>
      </c>
      <c r="B30" s="23" t="str">
        <f>Data!B31</f>
        <v>Marketing</v>
      </c>
      <c r="C30" s="26">
        <f>Data!C31</f>
        <v>47375</v>
      </c>
      <c r="D30" s="24">
        <f>Data!X31</f>
        <v>7</v>
      </c>
      <c r="E30" s="25">
        <f>VLOOKUP(D30, 'Pay Structure'!$A$1:$D$12, 3, FALSE)</f>
        <v>68405.139638779132</v>
      </c>
      <c r="F30" s="25">
        <f t="shared" si="0"/>
        <v>0.69256491910065388</v>
      </c>
      <c r="G30" s="25">
        <f>AVERAGE(F29:F30)</f>
        <v>0.8196021570317289</v>
      </c>
      <c r="H30" s="25">
        <f>VLOOKUP(D30, 'Pay Structure'!$A$1:$G$12, 7, FALSE)</f>
        <v>0.35</v>
      </c>
      <c r="I30" s="25">
        <v>0</v>
      </c>
      <c r="J30" s="25"/>
      <c r="K30" s="25"/>
      <c r="M30" s="25"/>
    </row>
    <row r="31" spans="1:13" ht="14.5" x14ac:dyDescent="0.35">
      <c r="A31" s="18" t="str">
        <f>Data!A32</f>
        <v>Coordinator, Professional Programs</v>
      </c>
      <c r="B31" s="18" t="str">
        <f>Data!B32</f>
        <v>Continuing Education</v>
      </c>
      <c r="C31" s="5">
        <f>Data!C32</f>
        <v>53042</v>
      </c>
      <c r="D31">
        <f>Data!X32</f>
        <v>8</v>
      </c>
      <c r="E31" s="19">
        <f>VLOOKUP(D31, 'Pay Structure'!$A$1:$D$12, 3, FALSE)</f>
        <v>75929.704999044843</v>
      </c>
      <c r="F31" s="19">
        <f t="shared" si="0"/>
        <v>0.69856718132471662</v>
      </c>
      <c r="G31" s="19"/>
      <c r="H31" s="19">
        <f>VLOOKUP(D31, 'Pay Structure'!$A$1:$G$12, 7, FALSE)</f>
        <v>0.35</v>
      </c>
      <c r="I31" s="19">
        <v>0</v>
      </c>
      <c r="J31" s="19"/>
      <c r="K31" s="19"/>
      <c r="M31" s="19"/>
    </row>
    <row r="32" spans="1:13" ht="14.5" x14ac:dyDescent="0.35">
      <c r="A32" s="18" t="str">
        <f>Data!A33</f>
        <v>Manager Conferences and Event Planning</v>
      </c>
      <c r="B32" s="18" t="str">
        <f>Data!B33</f>
        <v>Continuing Education</v>
      </c>
      <c r="C32" s="5">
        <f>Data!C33</f>
        <v>72180</v>
      </c>
      <c r="D32">
        <f>Data!X33</f>
        <v>8</v>
      </c>
      <c r="E32" s="19">
        <f>VLOOKUP(D32, 'Pay Structure'!$A$1:$D$12, 3, FALSE)</f>
        <v>75929.704999044843</v>
      </c>
      <c r="F32" s="19">
        <f t="shared" si="0"/>
        <v>0.95061609946868608</v>
      </c>
      <c r="G32" s="19"/>
      <c r="H32" s="19">
        <f>VLOOKUP(D32, 'Pay Structure'!$A$1:$G$12, 7, FALSE)</f>
        <v>0.35</v>
      </c>
      <c r="I32" s="19">
        <v>0</v>
      </c>
      <c r="J32" s="19"/>
      <c r="K32" s="19"/>
      <c r="M32" s="19"/>
    </row>
    <row r="33" spans="1:13" ht="14.5" x14ac:dyDescent="0.35">
      <c r="A33" s="18" t="str">
        <f>Data!A34</f>
        <v>Manager, Workforce Recruitment</v>
      </c>
      <c r="B33" s="18" t="str">
        <f>Data!B34</f>
        <v>Marketing</v>
      </c>
      <c r="C33" s="5">
        <f>Data!C34</f>
        <v>83828</v>
      </c>
      <c r="D33">
        <f>Data!X34</f>
        <v>8</v>
      </c>
      <c r="E33" s="19">
        <f>VLOOKUP(D33, 'Pay Structure'!$A$1:$D$12, 3, FALSE)</f>
        <v>75929.704999044843</v>
      </c>
      <c r="F33" s="19">
        <f t="shared" si="0"/>
        <v>1.1040211469418262</v>
      </c>
      <c r="G33" s="19"/>
      <c r="H33" s="19">
        <f>VLOOKUP(D33, 'Pay Structure'!$A$1:$G$12, 7, FALSE)</f>
        <v>0.35</v>
      </c>
      <c r="I33" s="19">
        <v>0</v>
      </c>
      <c r="J33" s="19"/>
      <c r="K33" s="19"/>
      <c r="M33" s="19"/>
    </row>
    <row r="34" spans="1:13" ht="14.5" x14ac:dyDescent="0.35">
      <c r="A34" s="18" t="str">
        <f>Data!A35</f>
        <v>Manager, Education Outreach</v>
      </c>
      <c r="B34" s="18" t="str">
        <f>Data!B35</f>
        <v>Marketing</v>
      </c>
      <c r="C34" s="5">
        <f>Data!C35</f>
        <v>81247</v>
      </c>
      <c r="D34">
        <f>Data!X35</f>
        <v>8</v>
      </c>
      <c r="E34" s="19">
        <f>VLOOKUP(D34, 'Pay Structure'!$A$1:$D$12, 3, FALSE)</f>
        <v>75929.704999044843</v>
      </c>
      <c r="F34" s="19">
        <f t="shared" si="0"/>
        <v>1.0700291802927726</v>
      </c>
      <c r="G34" s="19"/>
      <c r="H34" s="19">
        <f>VLOOKUP(D34, 'Pay Structure'!$A$1:$G$12, 7, FALSE)</f>
        <v>0.35</v>
      </c>
      <c r="I34" s="19">
        <v>0</v>
      </c>
      <c r="J34" s="19"/>
      <c r="K34" s="19"/>
      <c r="M34" s="19"/>
    </row>
    <row r="35" spans="1:13" s="24" customFormat="1" ht="14.5" x14ac:dyDescent="0.35">
      <c r="A35" s="23" t="str">
        <f>Data!A36</f>
        <v>Manager Finance and Administration</v>
      </c>
      <c r="B35" s="23" t="str">
        <f>Data!B36</f>
        <v>Ops</v>
      </c>
      <c r="C35" s="26">
        <f>Data!C36</f>
        <v>69733</v>
      </c>
      <c r="D35" s="24">
        <f>Data!X36</f>
        <v>8</v>
      </c>
      <c r="E35" s="25">
        <f>VLOOKUP(D35, 'Pay Structure'!$A$1:$D$12, 3, FALSE)</f>
        <v>75929.704999044843</v>
      </c>
      <c r="F35" s="25">
        <f t="shared" si="0"/>
        <v>0.91838892302923081</v>
      </c>
      <c r="G35" s="25">
        <f>AVERAGE(F31:F35)</f>
        <v>0.94832450621144648</v>
      </c>
      <c r="H35" s="25">
        <f>VLOOKUP(D35, 'Pay Structure'!$A$1:$G$12, 7, FALSE)</f>
        <v>0.35</v>
      </c>
      <c r="I35" s="25">
        <v>0</v>
      </c>
      <c r="J35" s="25"/>
      <c r="K35" s="25"/>
      <c r="M35" s="25"/>
    </row>
    <row r="36" spans="1:13" ht="14.5" x14ac:dyDescent="0.35">
      <c r="A36" s="18" t="str">
        <f>Data!A37</f>
        <v>Manager, Executive Office</v>
      </c>
      <c r="B36" s="18" t="str">
        <f>Data!B37</f>
        <v>Exec</v>
      </c>
      <c r="C36" s="5">
        <f>Data!C37</f>
        <v>71707</v>
      </c>
      <c r="D36">
        <f>Data!X37</f>
        <v>9</v>
      </c>
      <c r="E36" s="19">
        <f>VLOOKUP(D36, 'Pay Structure'!$A$1:$D$12, 3, FALSE)</f>
        <v>87319.160748901559</v>
      </c>
      <c r="F36" s="19">
        <f t="shared" si="0"/>
        <v>0.82120578559158963</v>
      </c>
      <c r="G36" s="19"/>
      <c r="H36" s="19">
        <f>VLOOKUP(D36, 'Pay Structure'!$A$1:$G$12, 7, FALSE)</f>
        <v>0.35</v>
      </c>
      <c r="I36" s="19">
        <v>0</v>
      </c>
      <c r="J36" s="19"/>
      <c r="K36" s="19"/>
      <c r="M36" s="19"/>
    </row>
    <row r="37" spans="1:13" ht="14.5" x14ac:dyDescent="0.35">
      <c r="A37" s="18" t="str">
        <f>Data!A38</f>
        <v>Manager, Audit and Assurance</v>
      </c>
      <c r="B37" s="18" t="str">
        <f>Data!B38</f>
        <v>Quality Assurance</v>
      </c>
      <c r="C37" s="5">
        <f>Data!C38</f>
        <v>84980</v>
      </c>
      <c r="D37">
        <f>Data!X38</f>
        <v>9</v>
      </c>
      <c r="E37" s="19">
        <f>VLOOKUP(D37, 'Pay Structure'!$A$1:$D$12, 3, FALSE)</f>
        <v>87319.160748901559</v>
      </c>
      <c r="F37" s="19">
        <f t="shared" si="0"/>
        <v>0.97321136931643049</v>
      </c>
      <c r="G37" s="19"/>
      <c r="H37" s="19">
        <f>VLOOKUP(D37, 'Pay Structure'!$A$1:$G$12, 7, FALSE)</f>
        <v>0.35</v>
      </c>
      <c r="I37" s="19">
        <v>0</v>
      </c>
      <c r="J37" s="19"/>
      <c r="K37" s="19"/>
      <c r="M37" s="19"/>
    </row>
    <row r="38" spans="1:13" ht="14.5" x14ac:dyDescent="0.35">
      <c r="A38" s="18" t="str">
        <f>Data!A39</f>
        <v>Manager, Tax Quality</v>
      </c>
      <c r="B38" s="18" t="str">
        <f>Data!B39</f>
        <v>Quality Assurance</v>
      </c>
      <c r="C38" s="5">
        <f>Data!C39</f>
        <v>70000</v>
      </c>
      <c r="D38">
        <f>Data!X39</f>
        <v>9</v>
      </c>
      <c r="E38" s="19">
        <f>VLOOKUP(D38, 'Pay Structure'!$A$1:$D$12, 3, FALSE)</f>
        <v>87319.160748901559</v>
      </c>
      <c r="F38" s="19">
        <f t="shared" si="0"/>
        <v>0.80165681162803171</v>
      </c>
      <c r="G38" s="19"/>
      <c r="H38" s="19">
        <f>VLOOKUP(D38, 'Pay Structure'!$A$1:$G$12, 7, FALSE)</f>
        <v>0.35</v>
      </c>
      <c r="I38" s="19">
        <v>0</v>
      </c>
      <c r="J38" s="19"/>
      <c r="K38" s="19"/>
      <c r="M38" s="19"/>
    </row>
    <row r="39" spans="1:13" ht="14.5" x14ac:dyDescent="0.35">
      <c r="A39" s="18" t="str">
        <f>Data!A40</f>
        <v>Manager, Member Services Centre</v>
      </c>
      <c r="B39" s="18" t="str">
        <f>Data!B40</f>
        <v>Ops</v>
      </c>
      <c r="C39" s="5">
        <f>Data!C40</f>
        <v>95151</v>
      </c>
      <c r="D39">
        <f>Data!X40</f>
        <v>9</v>
      </c>
      <c r="E39" s="19">
        <f>VLOOKUP(D39, 'Pay Structure'!$A$1:$D$12, 3, FALSE)</f>
        <v>87319.160748901559</v>
      </c>
      <c r="F39" s="19">
        <f t="shared" si="0"/>
        <v>1.0896921040459835</v>
      </c>
      <c r="G39" s="19"/>
      <c r="H39" s="19">
        <f>VLOOKUP(D39, 'Pay Structure'!$A$1:$G$12, 7, FALSE)</f>
        <v>0.35</v>
      </c>
      <c r="I39" s="19">
        <v>0</v>
      </c>
      <c r="J39" s="19"/>
      <c r="K39" s="19"/>
      <c r="M39" s="19"/>
    </row>
    <row r="40" spans="1:13" ht="14.5" x14ac:dyDescent="0.35">
      <c r="A40" s="18" t="str">
        <f>Data!A41</f>
        <v>Director, IT</v>
      </c>
      <c r="B40" s="18" t="str">
        <f>Data!B41</f>
        <v>IT</v>
      </c>
      <c r="C40" s="5">
        <f>Data!C41</f>
        <v>101981</v>
      </c>
      <c r="D40">
        <f>Data!X41</f>
        <v>9</v>
      </c>
      <c r="E40" s="19">
        <f>VLOOKUP(D40, 'Pay Structure'!$A$1:$D$12, 3, FALSE)</f>
        <v>87319.160748901559</v>
      </c>
      <c r="F40" s="19">
        <f t="shared" si="0"/>
        <v>1.1679109043805471</v>
      </c>
      <c r="G40" s="19"/>
      <c r="H40" s="19">
        <f>VLOOKUP(D40, 'Pay Structure'!$A$1:$G$12, 7, FALSE)</f>
        <v>0.35</v>
      </c>
      <c r="I40" s="19">
        <v>0</v>
      </c>
      <c r="J40" s="19"/>
      <c r="K40" s="19"/>
      <c r="M40" s="19"/>
    </row>
    <row r="41" spans="1:13" s="24" customFormat="1" ht="14.5" x14ac:dyDescent="0.35">
      <c r="A41" s="23" t="str">
        <f>Data!A42</f>
        <v>Director, Continuing Education</v>
      </c>
      <c r="B41" s="23" t="str">
        <f>Data!B42</f>
        <v>Continuing Education</v>
      </c>
      <c r="C41" s="26">
        <f>Data!C42</f>
        <v>83860</v>
      </c>
      <c r="D41" s="24">
        <f>Data!X42</f>
        <v>9</v>
      </c>
      <c r="E41" s="25">
        <f>VLOOKUP(D41, 'Pay Structure'!$A$1:$D$12, 3, FALSE)</f>
        <v>87319.160748901559</v>
      </c>
      <c r="F41" s="25">
        <f t="shared" si="0"/>
        <v>0.96038486033038206</v>
      </c>
      <c r="G41" s="25">
        <f>AVERAGE(F36:F41)</f>
        <v>0.96901030588216086</v>
      </c>
      <c r="H41" s="25">
        <f>VLOOKUP(D41, 'Pay Structure'!$A$1:$G$12, 7, FALSE)</f>
        <v>0.35</v>
      </c>
      <c r="I41" s="25">
        <v>0</v>
      </c>
      <c r="J41" s="25"/>
      <c r="K41" s="25"/>
      <c r="M41" s="25"/>
    </row>
    <row r="42" spans="1:13" ht="14.5" x14ac:dyDescent="0.35">
      <c r="A42" s="18" t="str">
        <f>Data!A43</f>
        <v>Director, Quality Assurance</v>
      </c>
      <c r="B42" s="18" t="str">
        <f>Data!B43</f>
        <v>Quality Assurance</v>
      </c>
      <c r="C42" s="5">
        <f>Data!C43</f>
        <v>114302</v>
      </c>
      <c r="D42">
        <f>Data!X43</f>
        <v>10</v>
      </c>
      <c r="E42" s="19">
        <f>VLOOKUP(D42, 'Pay Structure'!$A$1:$D$12, 3, FALSE)</f>
        <v>100417.03486123678</v>
      </c>
      <c r="F42" s="19">
        <f t="shared" si="0"/>
        <v>1.1382730047541278</v>
      </c>
      <c r="G42" s="19"/>
      <c r="H42" s="19">
        <f>VLOOKUP(D42, 'Pay Structure'!$A$1:$G$12, 7, FALSE)</f>
        <v>0.35</v>
      </c>
      <c r="I42" s="19">
        <v>0</v>
      </c>
      <c r="J42" s="19"/>
      <c r="K42" s="19"/>
      <c r="M42" s="19"/>
    </row>
    <row r="43" spans="1:13" ht="14.5" x14ac:dyDescent="0.35">
      <c r="A43" s="18" t="str">
        <f>Data!A44</f>
        <v>Director, Marketing and Communications</v>
      </c>
      <c r="B43" s="18" t="str">
        <f>Data!B44</f>
        <v>Marketing</v>
      </c>
      <c r="C43" s="5">
        <f>Data!C44</f>
        <v>118571</v>
      </c>
      <c r="D43">
        <f>Data!X44</f>
        <v>10</v>
      </c>
      <c r="E43" s="19">
        <f>VLOOKUP(D43, 'Pay Structure'!$A$1:$D$12, 3, FALSE)</f>
        <v>100417.03486123678</v>
      </c>
      <c r="F43" s="19">
        <f t="shared" si="0"/>
        <v>1.1807857119446876</v>
      </c>
      <c r="G43" s="19"/>
      <c r="H43" s="19">
        <f>VLOOKUP(D43, 'Pay Structure'!$A$1:$G$12, 7, FALSE)</f>
        <v>0.35</v>
      </c>
      <c r="I43" s="19">
        <v>0</v>
      </c>
      <c r="J43" s="19"/>
      <c r="K43" s="19"/>
      <c r="M43" s="19"/>
    </row>
    <row r="44" spans="1:13" s="24" customFormat="1" ht="14.5" x14ac:dyDescent="0.35">
      <c r="A44" s="23" t="str">
        <f>Data!A45</f>
        <v>Director, Operations</v>
      </c>
      <c r="B44" s="23" t="str">
        <f>Data!B45</f>
        <v>Ops</v>
      </c>
      <c r="C44" s="26">
        <f>Data!C45</f>
        <v>126947</v>
      </c>
      <c r="D44" s="24">
        <f>Data!X45</f>
        <v>10</v>
      </c>
      <c r="E44" s="25">
        <f>VLOOKUP(D44, 'Pay Structure'!$A$1:$D$12, 3, FALSE)</f>
        <v>100417.03486123678</v>
      </c>
      <c r="F44" s="25">
        <f t="shared" si="0"/>
        <v>1.2641978542328416</v>
      </c>
      <c r="G44" s="25">
        <f>AVERAGE(F42:F44)</f>
        <v>1.1944188569772189</v>
      </c>
      <c r="H44" s="25">
        <f>VLOOKUP(D44, 'Pay Structure'!$A$1:$G$12, 7, FALSE)</f>
        <v>0.35</v>
      </c>
      <c r="I44" s="25">
        <v>0</v>
      </c>
      <c r="J44" s="25"/>
      <c r="K44" s="25"/>
      <c r="M44" s="25"/>
    </row>
    <row r="45" spans="1:13" ht="14.5" x14ac:dyDescent="0.35">
      <c r="A45" s="18" t="str">
        <f>Data!A46</f>
        <v>Executive Director</v>
      </c>
      <c r="B45" s="18" t="str">
        <f>Data!B46</f>
        <v>Exec</v>
      </c>
      <c r="C45" s="5">
        <f>Data!C46</f>
        <v>171619</v>
      </c>
      <c r="D45">
        <f>Data!X46</f>
        <v>11</v>
      </c>
      <c r="E45" s="19">
        <f>VLOOKUP(D45, 'Pay Structure'!$A$1:$D$12, 3, FALSE)</f>
        <v>115479.59009042229</v>
      </c>
      <c r="F45" s="19">
        <f t="shared" si="0"/>
        <v>1.4861414026982576</v>
      </c>
      <c r="G45" s="19">
        <f>F45</f>
        <v>1.4861414026982576</v>
      </c>
      <c r="H45" s="19">
        <f>VLOOKUP(D45, 'Pay Structure'!$A$1:$G$12, 7, FALSE)</f>
        <v>0.5</v>
      </c>
      <c r="I45" s="19">
        <v>0</v>
      </c>
      <c r="J45" s="19"/>
      <c r="K45" s="19"/>
      <c r="M45" s="19"/>
    </row>
  </sheetData>
  <conditionalFormatting sqref="F2:F45">
    <cfRule type="expression" dxfId="4" priority="1">
      <formula>($F2-1)&gt;=$H2</formula>
    </cfRule>
    <cfRule type="expression" dxfId="3" priority="2">
      <formula>(1-$F2)&gt;$H2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2EC6-0BD8-44F4-B4E7-C55DCA55C7E0}">
  <dimension ref="A2:I182"/>
  <sheetViews>
    <sheetView topLeftCell="A173" workbookViewId="0">
      <selection activeCell="D174" sqref="D174"/>
    </sheetView>
  </sheetViews>
  <sheetFormatPr defaultColWidth="7.4609375" defaultRowHeight="12.5" x14ac:dyDescent="0.25"/>
  <cols>
    <col min="1" max="1" width="12.23046875" style="29" customWidth="1"/>
    <col min="2" max="2" width="28.765625" style="29" customWidth="1"/>
    <col min="3" max="3" width="19.84375" style="29" customWidth="1"/>
    <col min="4" max="4" width="14.69140625" style="42" customWidth="1"/>
    <col min="5" max="5" width="6.765625" style="29" customWidth="1"/>
    <col min="6" max="6" width="13.53515625" style="29" customWidth="1"/>
    <col min="7" max="7" width="11" style="29" customWidth="1"/>
    <col min="8" max="8" width="11.69140625" style="29" customWidth="1"/>
    <col min="9" max="9" width="7.4609375" style="29" customWidth="1"/>
    <col min="10" max="16384" width="7.4609375" style="29"/>
  </cols>
  <sheetData>
    <row r="2" spans="1:9" ht="34.5" x14ac:dyDescent="0.25">
      <c r="A2" s="30" t="s">
        <v>134</v>
      </c>
      <c r="B2" s="30" t="s">
        <v>135</v>
      </c>
      <c r="C2" s="30" t="s">
        <v>136</v>
      </c>
      <c r="D2" s="30" t="s">
        <v>137</v>
      </c>
      <c r="E2" s="30" t="s">
        <v>138</v>
      </c>
      <c r="F2" s="43" t="s">
        <v>45</v>
      </c>
      <c r="G2" s="31">
        <v>0.5</v>
      </c>
      <c r="H2" s="43" t="s">
        <v>139</v>
      </c>
      <c r="I2" s="31" t="s">
        <v>140</v>
      </c>
    </row>
    <row r="3" spans="1:9" ht="13" x14ac:dyDescent="0.3">
      <c r="A3" s="32"/>
      <c r="B3" s="33" t="s">
        <v>141</v>
      </c>
      <c r="C3" s="44">
        <f>Data!C11/1000</f>
        <v>43.898000000000003</v>
      </c>
      <c r="D3" s="41"/>
      <c r="E3" s="32" t="s">
        <v>142</v>
      </c>
      <c r="F3" s="32"/>
      <c r="G3" s="34" t="s">
        <v>142</v>
      </c>
      <c r="H3" s="38" t="s">
        <v>142</v>
      </c>
      <c r="I3" s="39" t="s">
        <v>142</v>
      </c>
    </row>
    <row r="4" spans="1:9" ht="25" x14ac:dyDescent="0.25">
      <c r="A4" s="32" t="s">
        <v>143</v>
      </c>
      <c r="B4" s="40"/>
      <c r="C4" s="37" t="s">
        <v>142</v>
      </c>
      <c r="D4" s="41" t="s">
        <v>144</v>
      </c>
      <c r="E4" s="32">
        <v>38</v>
      </c>
      <c r="F4" s="32" t="s">
        <v>145</v>
      </c>
      <c r="G4" s="34">
        <v>45.4</v>
      </c>
      <c r="H4" s="38"/>
      <c r="I4" s="39"/>
    </row>
    <row r="5" spans="1:9" x14ac:dyDescent="0.25">
      <c r="A5" s="32" t="s">
        <v>142</v>
      </c>
      <c r="B5" s="40"/>
      <c r="C5" s="37"/>
      <c r="D5" s="41" t="s">
        <v>146</v>
      </c>
      <c r="E5" s="32">
        <v>143</v>
      </c>
      <c r="F5" s="32" t="s">
        <v>145</v>
      </c>
      <c r="G5" s="34">
        <v>48</v>
      </c>
      <c r="H5" s="38"/>
      <c r="I5" s="39"/>
    </row>
    <row r="6" spans="1:9" ht="25" x14ac:dyDescent="0.25">
      <c r="A6" s="32"/>
      <c r="B6" s="40"/>
      <c r="C6" s="37"/>
      <c r="D6" s="41" t="s">
        <v>147</v>
      </c>
      <c r="E6" s="32">
        <v>11</v>
      </c>
      <c r="F6" s="32" t="s">
        <v>145</v>
      </c>
      <c r="G6" s="34">
        <v>50.2</v>
      </c>
      <c r="H6" s="38"/>
      <c r="I6" s="39"/>
    </row>
    <row r="7" spans="1:9" x14ac:dyDescent="0.25">
      <c r="A7" s="32" t="s">
        <v>148</v>
      </c>
      <c r="B7" s="40"/>
      <c r="C7" s="37"/>
      <c r="D7" s="41" t="s">
        <v>149</v>
      </c>
      <c r="E7" s="32">
        <v>19</v>
      </c>
      <c r="F7" s="32" t="s">
        <v>145</v>
      </c>
      <c r="G7" s="34">
        <v>45.3</v>
      </c>
      <c r="H7" s="38"/>
      <c r="I7" s="39"/>
    </row>
    <row r="8" spans="1:9" x14ac:dyDescent="0.25">
      <c r="A8" s="32"/>
      <c r="B8" s="40"/>
      <c r="C8" s="37"/>
      <c r="D8" s="41" t="s">
        <v>146</v>
      </c>
      <c r="E8" s="32">
        <v>79</v>
      </c>
      <c r="F8" s="32" t="s">
        <v>145</v>
      </c>
      <c r="G8" s="34">
        <v>49</v>
      </c>
      <c r="H8" s="38"/>
      <c r="I8" s="39"/>
    </row>
    <row r="9" spans="1:9" x14ac:dyDescent="0.25">
      <c r="A9" s="32"/>
      <c r="B9" s="40"/>
      <c r="C9" s="37"/>
      <c r="D9" s="41"/>
      <c r="E9" s="32"/>
      <c r="F9" s="32"/>
      <c r="G9" s="34"/>
      <c r="H9" s="38"/>
      <c r="I9" s="39"/>
    </row>
    <row r="10" spans="1:9" ht="13" x14ac:dyDescent="0.3">
      <c r="A10" s="35" t="s">
        <v>117</v>
      </c>
      <c r="B10" s="40"/>
      <c r="C10" s="36">
        <f>(E4/E10)*G4+(E5/E10)*G5+(E6/E10)*G6+(E7/E10)*G7+(E8/E10)*G8</f>
        <v>47.838275862068969</v>
      </c>
      <c r="D10" s="41" t="s">
        <v>150</v>
      </c>
      <c r="E10" s="32">
        <f>SUM(E4:E8)</f>
        <v>290</v>
      </c>
      <c r="F10" s="32"/>
      <c r="G10" s="34"/>
      <c r="H10" s="38"/>
      <c r="I10" s="55">
        <f>C3/C10</f>
        <v>0.91763340565554918</v>
      </c>
    </row>
    <row r="12" spans="1:9" ht="34.5" x14ac:dyDescent="0.25">
      <c r="A12" s="30" t="s">
        <v>134</v>
      </c>
      <c r="B12" s="30" t="s">
        <v>135</v>
      </c>
      <c r="C12" s="30" t="s">
        <v>136</v>
      </c>
      <c r="D12" s="30" t="s">
        <v>137</v>
      </c>
      <c r="E12" s="30" t="s">
        <v>138</v>
      </c>
      <c r="F12" s="43" t="s">
        <v>45</v>
      </c>
      <c r="G12" s="31">
        <v>0.5</v>
      </c>
      <c r="H12" s="43" t="s">
        <v>139</v>
      </c>
      <c r="I12" s="31" t="s">
        <v>140</v>
      </c>
    </row>
    <row r="13" spans="1:9" ht="13" x14ac:dyDescent="0.3">
      <c r="A13" s="32"/>
      <c r="B13" s="33" t="s">
        <v>220</v>
      </c>
      <c r="C13" s="44">
        <f>AVERAGE(Data!C9:C10)/1000</f>
        <v>37.941499999999998</v>
      </c>
      <c r="D13" s="41"/>
      <c r="E13" s="32" t="s">
        <v>142</v>
      </c>
      <c r="F13" s="32"/>
      <c r="G13" s="34" t="s">
        <v>142</v>
      </c>
      <c r="H13" s="38" t="s">
        <v>142</v>
      </c>
      <c r="I13" s="39" t="s">
        <v>142</v>
      </c>
    </row>
    <row r="14" spans="1:9" ht="25" x14ac:dyDescent="0.25">
      <c r="A14" s="32" t="s">
        <v>143</v>
      </c>
      <c r="B14" s="40"/>
      <c r="C14" s="37" t="s">
        <v>142</v>
      </c>
      <c r="D14" s="41" t="s">
        <v>144</v>
      </c>
      <c r="E14" s="32">
        <v>10</v>
      </c>
      <c r="F14" s="32" t="s">
        <v>151</v>
      </c>
      <c r="G14" s="34">
        <v>49.9</v>
      </c>
      <c r="H14" s="38"/>
      <c r="I14" s="39"/>
    </row>
    <row r="15" spans="1:9" x14ac:dyDescent="0.25">
      <c r="A15" s="32" t="s">
        <v>142</v>
      </c>
      <c r="B15" s="40"/>
      <c r="C15" s="37"/>
      <c r="D15" s="41" t="s">
        <v>146</v>
      </c>
      <c r="E15" s="32">
        <v>25</v>
      </c>
      <c r="F15" s="32" t="s">
        <v>151</v>
      </c>
      <c r="G15" s="34">
        <v>50.4</v>
      </c>
      <c r="H15" s="38"/>
      <c r="I15" s="39"/>
    </row>
    <row r="16" spans="1:9" x14ac:dyDescent="0.25">
      <c r="A16" s="32"/>
      <c r="B16" s="40"/>
      <c r="C16" s="37"/>
      <c r="D16" s="41"/>
      <c r="E16" s="32"/>
      <c r="F16" s="32"/>
      <c r="G16" s="34"/>
      <c r="H16" s="38"/>
      <c r="I16" s="39"/>
    </row>
    <row r="17" spans="1:9" ht="13" x14ac:dyDescent="0.3">
      <c r="A17" s="35" t="s">
        <v>117</v>
      </c>
      <c r="B17" s="40"/>
      <c r="C17" s="36">
        <f>(E14/E17)*G14+(E15/E17)*G15</f>
        <v>50.257142857142853</v>
      </c>
      <c r="D17" s="41" t="s">
        <v>150</v>
      </c>
      <c r="E17" s="32">
        <f>SUM(E14:E16)</f>
        <v>35</v>
      </c>
      <c r="F17" s="32"/>
      <c r="G17" s="34"/>
      <c r="H17" s="38"/>
      <c r="I17" s="55">
        <f>C13/C17</f>
        <v>0.75494741330301307</v>
      </c>
    </row>
    <row r="18" spans="1:9" ht="13" x14ac:dyDescent="0.3">
      <c r="A18" s="51"/>
      <c r="C18" s="52"/>
      <c r="G18" s="53"/>
      <c r="H18" s="53"/>
      <c r="I18" s="54"/>
    </row>
    <row r="19" spans="1:9" ht="34.5" x14ac:dyDescent="0.25">
      <c r="A19" s="30" t="s">
        <v>134</v>
      </c>
      <c r="B19" s="30" t="s">
        <v>135</v>
      </c>
      <c r="C19" s="30" t="s">
        <v>136</v>
      </c>
      <c r="D19" s="30" t="s">
        <v>137</v>
      </c>
      <c r="E19" s="30" t="s">
        <v>138</v>
      </c>
      <c r="F19" s="43" t="s">
        <v>45</v>
      </c>
      <c r="G19" s="31">
        <v>0.5</v>
      </c>
      <c r="H19" s="43" t="s">
        <v>139</v>
      </c>
      <c r="I19" s="31" t="s">
        <v>140</v>
      </c>
    </row>
    <row r="20" spans="1:9" ht="13" x14ac:dyDescent="0.3">
      <c r="A20" s="32"/>
      <c r="B20" s="33" t="s">
        <v>219</v>
      </c>
      <c r="C20" s="44">
        <f>Data!C7/1000</f>
        <v>42.908000000000001</v>
      </c>
      <c r="D20" s="41"/>
      <c r="E20" s="32" t="s">
        <v>142</v>
      </c>
      <c r="F20" s="32"/>
      <c r="G20" s="34" t="s">
        <v>142</v>
      </c>
      <c r="H20" s="38" t="s">
        <v>142</v>
      </c>
      <c r="I20" s="39" t="s">
        <v>142</v>
      </c>
    </row>
    <row r="21" spans="1:9" ht="25" x14ac:dyDescent="0.25">
      <c r="A21" s="32" t="s">
        <v>143</v>
      </c>
      <c r="B21" s="40"/>
      <c r="C21" s="37" t="s">
        <v>142</v>
      </c>
      <c r="D21" s="41" t="s">
        <v>144</v>
      </c>
      <c r="E21" s="32">
        <v>10</v>
      </c>
      <c r="F21" s="32" t="s">
        <v>151</v>
      </c>
      <c r="G21" s="34">
        <v>49.9</v>
      </c>
      <c r="H21" s="38"/>
      <c r="I21" s="39"/>
    </row>
    <row r="22" spans="1:9" x14ac:dyDescent="0.25">
      <c r="A22" s="32" t="s">
        <v>142</v>
      </c>
      <c r="B22" s="40"/>
      <c r="C22" s="37"/>
      <c r="D22" s="41" t="s">
        <v>146</v>
      </c>
      <c r="E22" s="32">
        <v>25</v>
      </c>
      <c r="F22" s="32" t="s">
        <v>151</v>
      </c>
      <c r="G22" s="34">
        <v>50.4</v>
      </c>
      <c r="H22" s="38"/>
      <c r="I22" s="39"/>
    </row>
    <row r="23" spans="1:9" x14ac:dyDescent="0.25">
      <c r="A23" s="32"/>
      <c r="B23" s="40"/>
      <c r="C23" s="37"/>
      <c r="D23" s="41"/>
      <c r="E23" s="32"/>
      <c r="F23" s="32"/>
      <c r="G23" s="34"/>
      <c r="H23" s="38"/>
      <c r="I23" s="39"/>
    </row>
    <row r="24" spans="1:9" ht="13" x14ac:dyDescent="0.3">
      <c r="A24" s="35" t="s">
        <v>117</v>
      </c>
      <c r="B24" s="40"/>
      <c r="C24" s="36">
        <f>(E21/E24)*G21+(E22/E24)*G22</f>
        <v>50.257142857142853</v>
      </c>
      <c r="D24" s="41" t="s">
        <v>150</v>
      </c>
      <c r="E24" s="32">
        <f>SUM(E21:E23)</f>
        <v>35</v>
      </c>
      <c r="F24" s="32"/>
      <c r="G24" s="34"/>
      <c r="H24" s="38"/>
      <c r="I24" s="55">
        <f>C20/C24</f>
        <v>0.85376918703808991</v>
      </c>
    </row>
    <row r="26" spans="1:9" ht="34.5" x14ac:dyDescent="0.25">
      <c r="A26" s="30" t="s">
        <v>134</v>
      </c>
      <c r="B26" s="30" t="s">
        <v>135</v>
      </c>
      <c r="C26" s="30" t="s">
        <v>136</v>
      </c>
      <c r="D26" s="30" t="s">
        <v>137</v>
      </c>
      <c r="E26" s="30" t="s">
        <v>138</v>
      </c>
      <c r="F26" s="43" t="s">
        <v>45</v>
      </c>
      <c r="G26" s="31">
        <v>0.5</v>
      </c>
      <c r="H26" s="43" t="s">
        <v>139</v>
      </c>
      <c r="I26" s="31" t="s">
        <v>140</v>
      </c>
    </row>
    <row r="27" spans="1:9" ht="13" x14ac:dyDescent="0.3">
      <c r="A27" s="32"/>
      <c r="B27" s="33" t="s">
        <v>47</v>
      </c>
      <c r="C27" s="44">
        <f>Data!C33/1000</f>
        <v>72.180000000000007</v>
      </c>
      <c r="D27" s="41"/>
      <c r="E27" s="32" t="s">
        <v>142</v>
      </c>
      <c r="F27" s="32"/>
      <c r="G27" s="34" t="s">
        <v>142</v>
      </c>
      <c r="H27" s="38" t="s">
        <v>142</v>
      </c>
      <c r="I27" s="39" t="s">
        <v>142</v>
      </c>
    </row>
    <row r="28" spans="1:9" ht="25" x14ac:dyDescent="0.25">
      <c r="A28" s="32" t="s">
        <v>143</v>
      </c>
      <c r="B28" s="40"/>
      <c r="C28" s="37" t="s">
        <v>142</v>
      </c>
      <c r="D28" s="41" t="s">
        <v>144</v>
      </c>
      <c r="E28" s="32">
        <v>4</v>
      </c>
      <c r="F28" s="32" t="s">
        <v>152</v>
      </c>
      <c r="G28" s="34">
        <v>64.3</v>
      </c>
      <c r="H28" s="38"/>
      <c r="I28" s="39"/>
    </row>
    <row r="29" spans="1:9" x14ac:dyDescent="0.25">
      <c r="A29" s="32" t="s">
        <v>142</v>
      </c>
      <c r="B29" s="40"/>
      <c r="C29" s="37"/>
      <c r="D29" s="41" t="s">
        <v>146</v>
      </c>
      <c r="E29" s="32">
        <v>17</v>
      </c>
      <c r="F29" s="32" t="s">
        <v>152</v>
      </c>
      <c r="G29" s="34">
        <v>70.900000000000006</v>
      </c>
      <c r="H29" s="38"/>
      <c r="I29" s="39"/>
    </row>
    <row r="30" spans="1:9" x14ac:dyDescent="0.25">
      <c r="A30" s="32"/>
      <c r="B30" s="40"/>
      <c r="C30" s="37"/>
      <c r="D30" s="41"/>
      <c r="E30" s="32"/>
      <c r="F30" s="32"/>
      <c r="G30" s="34"/>
      <c r="H30" s="38"/>
      <c r="I30" s="39"/>
    </row>
    <row r="31" spans="1:9" ht="13" x14ac:dyDescent="0.3">
      <c r="A31" s="35" t="s">
        <v>117</v>
      </c>
      <c r="B31" s="40"/>
      <c r="C31" s="36">
        <f>(E28/E31)*G28+(E29/E31)*G29</f>
        <v>69.642857142857139</v>
      </c>
      <c r="D31" s="41" t="s">
        <v>150</v>
      </c>
      <c r="E31" s="32">
        <f>SUM(E28:E29)</f>
        <v>21</v>
      </c>
      <c r="F31" s="32"/>
      <c r="G31" s="34"/>
      <c r="H31" s="38"/>
      <c r="I31" s="55">
        <f>C27/C31</f>
        <v>1.0364307692307695</v>
      </c>
    </row>
    <row r="33" spans="1:9" ht="34.5" x14ac:dyDescent="0.25">
      <c r="A33" s="30" t="s">
        <v>134</v>
      </c>
      <c r="B33" s="30" t="s">
        <v>135</v>
      </c>
      <c r="C33" s="30" t="s">
        <v>136</v>
      </c>
      <c r="D33" s="30" t="s">
        <v>137</v>
      </c>
      <c r="E33" s="30" t="s">
        <v>138</v>
      </c>
      <c r="F33" s="43" t="s">
        <v>45</v>
      </c>
      <c r="G33" s="31">
        <v>0.5</v>
      </c>
      <c r="H33" s="43" t="s">
        <v>139</v>
      </c>
      <c r="I33" s="31" t="s">
        <v>140</v>
      </c>
    </row>
    <row r="34" spans="1:9" ht="13" x14ac:dyDescent="0.3">
      <c r="A34" s="32"/>
      <c r="B34" s="33" t="s">
        <v>153</v>
      </c>
      <c r="C34" s="44">
        <f>Data!C13/1000</f>
        <v>37.258000000000003</v>
      </c>
      <c r="D34" s="41"/>
      <c r="E34" s="32" t="s">
        <v>142</v>
      </c>
      <c r="F34" s="32"/>
      <c r="G34" s="34" t="s">
        <v>142</v>
      </c>
      <c r="H34" s="38" t="s">
        <v>142</v>
      </c>
      <c r="I34" s="39" t="s">
        <v>142</v>
      </c>
    </row>
    <row r="35" spans="1:9" ht="25" x14ac:dyDescent="0.25">
      <c r="A35" s="32" t="s">
        <v>143</v>
      </c>
      <c r="B35" s="40"/>
      <c r="C35" s="37" t="s">
        <v>142</v>
      </c>
      <c r="D35" s="41" t="s">
        <v>144</v>
      </c>
      <c r="E35" s="32">
        <v>42</v>
      </c>
      <c r="F35" s="32" t="s">
        <v>154</v>
      </c>
      <c r="G35" s="34">
        <v>53.5</v>
      </c>
      <c r="H35" s="38"/>
      <c r="I35" s="39"/>
    </row>
    <row r="36" spans="1:9" x14ac:dyDescent="0.25">
      <c r="A36" s="32" t="s">
        <v>142</v>
      </c>
      <c r="B36" s="40"/>
      <c r="C36" s="37"/>
      <c r="D36" s="41" t="s">
        <v>146</v>
      </c>
      <c r="E36" s="32">
        <v>172</v>
      </c>
      <c r="F36" s="32" t="s">
        <v>154</v>
      </c>
      <c r="G36" s="34">
        <v>55.5</v>
      </c>
      <c r="H36" s="38"/>
      <c r="I36" s="39"/>
    </row>
    <row r="37" spans="1:9" ht="25" x14ac:dyDescent="0.25">
      <c r="A37" s="32"/>
      <c r="B37" s="40"/>
      <c r="C37" s="37"/>
      <c r="D37" s="41" t="s">
        <v>147</v>
      </c>
      <c r="E37" s="32">
        <v>17</v>
      </c>
      <c r="F37" s="32" t="s">
        <v>154</v>
      </c>
      <c r="G37" s="34">
        <v>53.5</v>
      </c>
      <c r="H37" s="38"/>
      <c r="I37" s="39"/>
    </row>
    <row r="38" spans="1:9" x14ac:dyDescent="0.25">
      <c r="A38" s="32" t="s">
        <v>148</v>
      </c>
      <c r="B38" s="40"/>
      <c r="C38" s="37"/>
      <c r="D38" s="41" t="s">
        <v>149</v>
      </c>
      <c r="E38" s="32">
        <v>20</v>
      </c>
      <c r="F38" s="32" t="s">
        <v>155</v>
      </c>
      <c r="G38" s="34">
        <v>55.2</v>
      </c>
      <c r="H38" s="38"/>
      <c r="I38" s="39"/>
    </row>
    <row r="39" spans="1:9" x14ac:dyDescent="0.25">
      <c r="A39" s="32"/>
      <c r="B39" s="40"/>
      <c r="C39" s="37"/>
      <c r="D39" s="41" t="s">
        <v>146</v>
      </c>
      <c r="E39" s="32">
        <v>81</v>
      </c>
      <c r="F39" s="32" t="s">
        <v>155</v>
      </c>
      <c r="G39" s="34">
        <v>57</v>
      </c>
      <c r="H39" s="38"/>
      <c r="I39" s="39"/>
    </row>
    <row r="40" spans="1:9" x14ac:dyDescent="0.25">
      <c r="A40" s="32"/>
      <c r="B40" s="40"/>
      <c r="C40" s="37"/>
      <c r="D40" s="41"/>
      <c r="E40" s="32"/>
      <c r="F40" s="32"/>
      <c r="G40" s="34"/>
      <c r="H40" s="38"/>
      <c r="I40" s="39"/>
    </row>
    <row r="41" spans="1:9" ht="13" x14ac:dyDescent="0.3">
      <c r="A41" s="35" t="s">
        <v>117</v>
      </c>
      <c r="B41" s="40"/>
      <c r="C41" s="36">
        <f>(E35/E41)*G35+(E36/E41)*G36+(E37/E41)*G37+(E38/E41)*G38+(E39/E41)*G39</f>
        <v>55.492469879518076</v>
      </c>
      <c r="D41" s="41" t="s">
        <v>150</v>
      </c>
      <c r="E41" s="32">
        <f>SUM(E35:E39)</f>
        <v>332</v>
      </c>
      <c r="F41" s="32"/>
      <c r="G41" s="34"/>
      <c r="H41" s="38"/>
      <c r="I41" s="55">
        <f>C34/C41</f>
        <v>0.67140641029120418</v>
      </c>
    </row>
    <row r="43" spans="1:9" ht="34.5" x14ac:dyDescent="0.25">
      <c r="A43" s="30" t="s">
        <v>134</v>
      </c>
      <c r="B43" s="30" t="s">
        <v>135</v>
      </c>
      <c r="C43" s="30" t="s">
        <v>136</v>
      </c>
      <c r="D43" s="30" t="s">
        <v>137</v>
      </c>
      <c r="E43" s="30" t="s">
        <v>138</v>
      </c>
      <c r="F43" s="43" t="s">
        <v>45</v>
      </c>
      <c r="G43" s="31">
        <v>0.5</v>
      </c>
      <c r="H43" s="43" t="s">
        <v>139</v>
      </c>
      <c r="I43" s="31" t="s">
        <v>140</v>
      </c>
    </row>
    <row r="44" spans="1:9" ht="13" x14ac:dyDescent="0.3">
      <c r="A44" s="32"/>
      <c r="B44" s="33" t="s">
        <v>156</v>
      </c>
      <c r="C44" s="44">
        <f>Data!C41/1000</f>
        <v>101.98099999999999</v>
      </c>
      <c r="D44" s="41"/>
      <c r="E44" s="32" t="s">
        <v>142</v>
      </c>
      <c r="F44" s="32"/>
      <c r="G44" s="34" t="s">
        <v>142</v>
      </c>
      <c r="H44" s="38" t="s">
        <v>142</v>
      </c>
      <c r="I44" s="39" t="s">
        <v>142</v>
      </c>
    </row>
    <row r="45" spans="1:9" ht="25" x14ac:dyDescent="0.25">
      <c r="A45" s="32" t="s">
        <v>143</v>
      </c>
      <c r="B45" s="40"/>
      <c r="C45" s="37" t="s">
        <v>142</v>
      </c>
      <c r="D45" s="41" t="s">
        <v>144</v>
      </c>
      <c r="E45" s="32">
        <v>25</v>
      </c>
      <c r="F45" s="32" t="s">
        <v>157</v>
      </c>
      <c r="G45" s="34">
        <v>149.4</v>
      </c>
      <c r="H45" s="38"/>
      <c r="I45" s="39"/>
    </row>
    <row r="46" spans="1:9" ht="25" x14ac:dyDescent="0.25">
      <c r="A46" s="32"/>
      <c r="B46" s="40"/>
      <c r="C46" s="37"/>
      <c r="D46" s="41" t="s">
        <v>147</v>
      </c>
      <c r="E46" s="32">
        <v>4</v>
      </c>
      <c r="F46" s="32" t="s">
        <v>157</v>
      </c>
      <c r="G46" s="34">
        <v>128.6</v>
      </c>
      <c r="H46" s="38"/>
      <c r="I46" s="39"/>
    </row>
    <row r="47" spans="1:9" x14ac:dyDescent="0.25">
      <c r="A47" s="32" t="s">
        <v>158</v>
      </c>
      <c r="B47" s="40"/>
      <c r="C47" s="37"/>
      <c r="D47" s="41" t="s">
        <v>159</v>
      </c>
      <c r="E47" s="32">
        <v>4</v>
      </c>
      <c r="F47" s="32" t="s">
        <v>157</v>
      </c>
      <c r="G47" s="34">
        <v>175.8</v>
      </c>
      <c r="H47" s="38"/>
      <c r="I47" s="39"/>
    </row>
    <row r="48" spans="1:9" x14ac:dyDescent="0.25">
      <c r="A48" s="32"/>
      <c r="B48" s="40"/>
      <c r="C48" s="37"/>
      <c r="D48" s="41"/>
      <c r="E48" s="32"/>
      <c r="F48" s="32"/>
      <c r="G48" s="34"/>
      <c r="H48" s="38"/>
      <c r="I48" s="39"/>
    </row>
    <row r="49" spans="1:9" ht="13" x14ac:dyDescent="0.3">
      <c r="A49" s="35" t="s">
        <v>117</v>
      </c>
      <c r="B49" s="40"/>
      <c r="C49" s="36">
        <f>(E45/E49)*G45+(E46/E49)*G46+(E47/E49)*G47</f>
        <v>150.07878787878789</v>
      </c>
      <c r="D49" s="41" t="s">
        <v>150</v>
      </c>
      <c r="E49" s="32">
        <f>SUM(E45:E47)</f>
        <v>33</v>
      </c>
      <c r="F49" s="32"/>
      <c r="G49" s="34"/>
      <c r="H49" s="38"/>
      <c r="I49" s="55">
        <f>C44/C49</f>
        <v>0.67951641562007825</v>
      </c>
    </row>
    <row r="51" spans="1:9" ht="34.5" x14ac:dyDescent="0.25">
      <c r="A51" s="30" t="s">
        <v>134</v>
      </c>
      <c r="B51" s="30" t="s">
        <v>135</v>
      </c>
      <c r="C51" s="30" t="s">
        <v>136</v>
      </c>
      <c r="D51" s="30" t="s">
        <v>137</v>
      </c>
      <c r="E51" s="30" t="s">
        <v>138</v>
      </c>
      <c r="F51" s="43" t="s">
        <v>45</v>
      </c>
      <c r="G51" s="31">
        <v>0.5</v>
      </c>
      <c r="H51" s="43" t="s">
        <v>139</v>
      </c>
      <c r="I51" s="31" t="s">
        <v>140</v>
      </c>
    </row>
    <row r="52" spans="1:9" ht="13" x14ac:dyDescent="0.3">
      <c r="A52" s="32"/>
      <c r="B52" s="33" t="s">
        <v>160</v>
      </c>
      <c r="C52" s="44">
        <f>Data!C46/1000</f>
        <v>171.619</v>
      </c>
      <c r="D52" s="41"/>
      <c r="E52" s="32" t="s">
        <v>142</v>
      </c>
      <c r="F52" s="32"/>
      <c r="G52" s="34" t="s">
        <v>142</v>
      </c>
      <c r="H52" s="38" t="s">
        <v>142</v>
      </c>
      <c r="I52" s="39" t="s">
        <v>142</v>
      </c>
    </row>
    <row r="53" spans="1:9" ht="25" x14ac:dyDescent="0.25">
      <c r="A53" s="32" t="s">
        <v>143</v>
      </c>
      <c r="B53" s="40"/>
      <c r="C53" s="37" t="s">
        <v>142</v>
      </c>
      <c r="D53" s="41" t="s">
        <v>144</v>
      </c>
      <c r="E53" s="32">
        <v>32</v>
      </c>
      <c r="F53" s="32" t="s">
        <v>161</v>
      </c>
      <c r="G53" s="34">
        <v>280.8</v>
      </c>
      <c r="H53" s="38"/>
      <c r="I53" s="39"/>
    </row>
    <row r="54" spans="1:9" ht="25" x14ac:dyDescent="0.25">
      <c r="A54" s="32"/>
      <c r="B54" s="40"/>
      <c r="C54" s="37"/>
      <c r="D54" s="41" t="s">
        <v>147</v>
      </c>
      <c r="E54" s="32">
        <v>9</v>
      </c>
      <c r="F54" s="32" t="s">
        <v>161</v>
      </c>
      <c r="G54" s="34">
        <v>190</v>
      </c>
      <c r="H54" s="38"/>
      <c r="I54" s="39"/>
    </row>
    <row r="55" spans="1:9" x14ac:dyDescent="0.25">
      <c r="A55" s="32" t="s">
        <v>158</v>
      </c>
      <c r="B55" s="40"/>
      <c r="C55" s="37"/>
      <c r="D55" s="41" t="s">
        <v>159</v>
      </c>
      <c r="E55" s="32">
        <v>21</v>
      </c>
      <c r="F55" s="32" t="s">
        <v>161</v>
      </c>
      <c r="G55" s="34">
        <v>275</v>
      </c>
      <c r="H55" s="38"/>
      <c r="I55" s="39"/>
    </row>
    <row r="56" spans="1:9" x14ac:dyDescent="0.25">
      <c r="A56" s="32"/>
      <c r="B56" s="40"/>
      <c r="C56" s="37"/>
      <c r="D56" s="41"/>
      <c r="E56" s="32"/>
      <c r="F56" s="32"/>
      <c r="G56" s="34"/>
      <c r="H56" s="38"/>
      <c r="I56" s="39"/>
    </row>
    <row r="57" spans="1:9" ht="13" x14ac:dyDescent="0.3">
      <c r="A57" s="35" t="s">
        <v>117</v>
      </c>
      <c r="B57" s="40"/>
      <c r="C57" s="36">
        <f>(E53/E57)*G53+(E54/E57)*G54+(E55/E57)*G55</f>
        <v>265.65483870967745</v>
      </c>
      <c r="D57" s="41" t="s">
        <v>150</v>
      </c>
      <c r="E57" s="32">
        <f>SUM(E53:E55)</f>
        <v>62</v>
      </c>
      <c r="F57" s="32"/>
      <c r="G57" s="34"/>
      <c r="H57" s="38"/>
      <c r="I57" s="55">
        <f>C52/C57</f>
        <v>0.64602248855536526</v>
      </c>
    </row>
    <row r="59" spans="1:9" ht="34.5" x14ac:dyDescent="0.25">
      <c r="A59" s="30" t="s">
        <v>134</v>
      </c>
      <c r="B59" s="30" t="s">
        <v>135</v>
      </c>
      <c r="C59" s="30" t="s">
        <v>136</v>
      </c>
      <c r="D59" s="30" t="s">
        <v>137</v>
      </c>
      <c r="E59" s="30" t="s">
        <v>138</v>
      </c>
      <c r="F59" s="43" t="s">
        <v>45</v>
      </c>
      <c r="G59" s="31">
        <v>0.5</v>
      </c>
      <c r="H59" s="43" t="s">
        <v>139</v>
      </c>
      <c r="I59" s="31" t="s">
        <v>140</v>
      </c>
    </row>
    <row r="60" spans="1:9" ht="13" x14ac:dyDescent="0.3">
      <c r="A60" s="32"/>
      <c r="B60" s="33" t="s">
        <v>162</v>
      </c>
      <c r="C60" s="44">
        <f>Data!C44/1000</f>
        <v>118.571</v>
      </c>
      <c r="D60" s="41"/>
      <c r="E60" s="32" t="s">
        <v>142</v>
      </c>
      <c r="F60" s="32"/>
      <c r="G60" s="34" t="s">
        <v>142</v>
      </c>
      <c r="H60" s="38" t="s">
        <v>142</v>
      </c>
      <c r="I60" s="39" t="s">
        <v>142</v>
      </c>
    </row>
    <row r="61" spans="1:9" ht="25" x14ac:dyDescent="0.25">
      <c r="A61" s="32" t="s">
        <v>143</v>
      </c>
      <c r="B61" s="40"/>
      <c r="C61" s="37"/>
      <c r="D61" s="41" t="s">
        <v>147</v>
      </c>
      <c r="E61" s="32">
        <v>4</v>
      </c>
      <c r="F61" s="32" t="s">
        <v>163</v>
      </c>
      <c r="G61" s="34">
        <v>154.9</v>
      </c>
      <c r="H61" s="38"/>
      <c r="I61" s="39"/>
    </row>
    <row r="62" spans="1:9" x14ac:dyDescent="0.25">
      <c r="A62" s="32" t="s">
        <v>158</v>
      </c>
      <c r="B62" s="40"/>
      <c r="C62" s="37"/>
      <c r="D62" s="41" t="s">
        <v>164</v>
      </c>
      <c r="E62" s="32">
        <v>12</v>
      </c>
      <c r="F62" s="32" t="s">
        <v>165</v>
      </c>
      <c r="G62" s="34">
        <v>185.8</v>
      </c>
      <c r="H62" s="38"/>
      <c r="I62" s="39"/>
    </row>
    <row r="63" spans="1:9" x14ac:dyDescent="0.25">
      <c r="A63" s="32"/>
      <c r="B63" s="40"/>
      <c r="C63" s="37"/>
      <c r="D63" s="41"/>
      <c r="E63" s="32"/>
      <c r="F63" s="32"/>
      <c r="G63" s="34"/>
      <c r="H63" s="38"/>
      <c r="I63" s="39"/>
    </row>
    <row r="64" spans="1:9" ht="13" x14ac:dyDescent="0.3">
      <c r="A64" s="35" t="s">
        <v>117</v>
      </c>
      <c r="B64" s="40"/>
      <c r="C64" s="36">
        <f>(E61/E64)*G61+(E62/E64)*G62</f>
        <v>178.07500000000002</v>
      </c>
      <c r="D64" s="41" t="s">
        <v>150</v>
      </c>
      <c r="E64" s="32">
        <f>SUM(E61:E62)</f>
        <v>16</v>
      </c>
      <c r="F64" s="32"/>
      <c r="G64" s="34"/>
      <c r="H64" s="38"/>
      <c r="I64" s="55">
        <f>C60/C64</f>
        <v>0.66584865927277825</v>
      </c>
    </row>
    <row r="66" spans="1:9" ht="34.5" x14ac:dyDescent="0.25">
      <c r="A66" s="30" t="s">
        <v>134</v>
      </c>
      <c r="B66" s="30" t="s">
        <v>135</v>
      </c>
      <c r="C66" s="30" t="s">
        <v>136</v>
      </c>
      <c r="D66" s="30" t="s">
        <v>137</v>
      </c>
      <c r="E66" s="30" t="s">
        <v>138</v>
      </c>
      <c r="F66" s="43" t="s">
        <v>45</v>
      </c>
      <c r="G66" s="31">
        <v>0.5</v>
      </c>
      <c r="H66" s="43" t="s">
        <v>139</v>
      </c>
      <c r="I66" s="31" t="s">
        <v>140</v>
      </c>
    </row>
    <row r="67" spans="1:9" ht="13" x14ac:dyDescent="0.3">
      <c r="A67" s="32"/>
      <c r="B67" s="33" t="s">
        <v>166</v>
      </c>
      <c r="C67" s="44">
        <f>Data!C31/1000</f>
        <v>47.375</v>
      </c>
      <c r="D67" s="41"/>
      <c r="E67" s="32" t="s">
        <v>142</v>
      </c>
      <c r="F67" s="32"/>
      <c r="G67" s="34" t="s">
        <v>142</v>
      </c>
      <c r="H67" s="38" t="s">
        <v>142</v>
      </c>
      <c r="I67" s="39" t="s">
        <v>142</v>
      </c>
    </row>
    <row r="68" spans="1:9" ht="25" x14ac:dyDescent="0.25">
      <c r="A68" s="32" t="s">
        <v>143</v>
      </c>
      <c r="B68" s="40"/>
      <c r="C68" s="37" t="s">
        <v>142</v>
      </c>
      <c r="D68" s="41" t="s">
        <v>144</v>
      </c>
      <c r="E68" s="32">
        <v>5</v>
      </c>
      <c r="F68" s="32" t="s">
        <v>167</v>
      </c>
      <c r="G68" s="34">
        <v>48.7</v>
      </c>
      <c r="H68" s="38"/>
      <c r="I68" s="39"/>
    </row>
    <row r="69" spans="1:9" x14ac:dyDescent="0.25">
      <c r="A69" s="32"/>
      <c r="B69" s="40"/>
      <c r="C69" s="37"/>
      <c r="D69" s="41" t="s">
        <v>146</v>
      </c>
      <c r="E69" s="32">
        <v>61</v>
      </c>
      <c r="F69" s="32" t="s">
        <v>167</v>
      </c>
      <c r="G69" s="34">
        <v>48.2</v>
      </c>
      <c r="H69" s="38"/>
      <c r="I69" s="39"/>
    </row>
    <row r="70" spans="1:9" ht="25" x14ac:dyDescent="0.25">
      <c r="A70" s="32"/>
      <c r="B70" s="40"/>
      <c r="C70" s="37"/>
      <c r="D70" s="41" t="s">
        <v>147</v>
      </c>
      <c r="E70" s="32">
        <v>9</v>
      </c>
      <c r="F70" s="32" t="s">
        <v>167</v>
      </c>
      <c r="G70" s="34">
        <v>45</v>
      </c>
      <c r="H70" s="38"/>
      <c r="I70" s="39"/>
    </row>
    <row r="71" spans="1:9" x14ac:dyDescent="0.25">
      <c r="A71" s="32"/>
      <c r="B71" s="40"/>
      <c r="C71" s="37"/>
      <c r="D71" s="41"/>
      <c r="E71" s="32"/>
      <c r="F71" s="32"/>
      <c r="G71" s="34"/>
      <c r="H71" s="38"/>
      <c r="I71" s="39"/>
    </row>
    <row r="72" spans="1:9" ht="13" x14ac:dyDescent="0.3">
      <c r="A72" s="35" t="s">
        <v>117</v>
      </c>
      <c r="B72" s="40"/>
      <c r="C72" s="36">
        <f>(E68/E72)*G68+(E69/E72)*G69+(E70/E72)*G70</f>
        <v>47.849333333333341</v>
      </c>
      <c r="D72" s="41" t="s">
        <v>150</v>
      </c>
      <c r="E72" s="32">
        <f>SUM(E68:E70)</f>
        <v>75</v>
      </c>
      <c r="F72" s="32"/>
      <c r="G72" s="34"/>
      <c r="H72" s="38"/>
      <c r="I72" s="55">
        <f>C67/C72</f>
        <v>0.99008693956028626</v>
      </c>
    </row>
    <row r="74" spans="1:9" ht="34.5" x14ac:dyDescent="0.25">
      <c r="A74" s="30" t="s">
        <v>134</v>
      </c>
      <c r="B74" s="30" t="s">
        <v>135</v>
      </c>
      <c r="C74" s="30" t="s">
        <v>136</v>
      </c>
      <c r="D74" s="30" t="s">
        <v>137</v>
      </c>
      <c r="E74" s="30" t="s">
        <v>138</v>
      </c>
      <c r="F74" s="43" t="s">
        <v>45</v>
      </c>
      <c r="G74" s="31">
        <v>0.5</v>
      </c>
      <c r="H74" s="43" t="s">
        <v>139</v>
      </c>
      <c r="I74" s="31" t="s">
        <v>140</v>
      </c>
    </row>
    <row r="75" spans="1:9" ht="13" x14ac:dyDescent="0.3">
      <c r="A75" s="32"/>
      <c r="B75" s="33" t="s">
        <v>36</v>
      </c>
      <c r="C75" s="44">
        <f>Data!C17/1000</f>
        <v>41.53</v>
      </c>
      <c r="D75" s="41"/>
      <c r="E75" s="32" t="s">
        <v>142</v>
      </c>
      <c r="F75" s="32"/>
      <c r="G75" s="34" t="s">
        <v>142</v>
      </c>
      <c r="H75" s="38" t="s">
        <v>142</v>
      </c>
      <c r="I75" s="39" t="s">
        <v>142</v>
      </c>
    </row>
    <row r="76" spans="1:9" ht="25" x14ac:dyDescent="0.25">
      <c r="A76" s="32" t="s">
        <v>143</v>
      </c>
      <c r="B76" s="40"/>
      <c r="C76" s="37" t="s">
        <v>142</v>
      </c>
      <c r="D76" s="41" t="s">
        <v>144</v>
      </c>
      <c r="E76" s="32">
        <v>16</v>
      </c>
      <c r="F76" s="32" t="s">
        <v>168</v>
      </c>
      <c r="G76" s="34">
        <v>53.5</v>
      </c>
      <c r="H76" s="38"/>
      <c r="I76" s="39"/>
    </row>
    <row r="77" spans="1:9" x14ac:dyDescent="0.25">
      <c r="A77" s="32" t="s">
        <v>142</v>
      </c>
      <c r="B77" s="40"/>
      <c r="C77" s="37"/>
      <c r="D77" s="41" t="s">
        <v>146</v>
      </c>
      <c r="E77" s="32">
        <v>104</v>
      </c>
      <c r="F77" s="32" t="s">
        <v>168</v>
      </c>
      <c r="G77" s="34">
        <v>55.5</v>
      </c>
      <c r="H77" s="38"/>
      <c r="I77" s="39"/>
    </row>
    <row r="78" spans="1:9" ht="25" x14ac:dyDescent="0.25">
      <c r="A78" s="32"/>
      <c r="B78" s="40"/>
      <c r="C78" s="37"/>
      <c r="D78" s="41" t="s">
        <v>147</v>
      </c>
      <c r="E78" s="32">
        <v>16</v>
      </c>
      <c r="F78" s="32" t="s">
        <v>168</v>
      </c>
      <c r="G78" s="34">
        <v>51.3</v>
      </c>
      <c r="H78" s="38"/>
      <c r="I78" s="39"/>
    </row>
    <row r="79" spans="1:9" x14ac:dyDescent="0.25">
      <c r="A79" s="32" t="s">
        <v>148</v>
      </c>
      <c r="B79" s="40"/>
      <c r="C79" s="37"/>
      <c r="D79" s="41" t="s">
        <v>149</v>
      </c>
      <c r="E79" s="32">
        <v>11</v>
      </c>
      <c r="F79" s="32" t="s">
        <v>168</v>
      </c>
      <c r="G79" s="34">
        <v>52.7</v>
      </c>
      <c r="H79" s="38"/>
      <c r="I79" s="39"/>
    </row>
    <row r="80" spans="1:9" x14ac:dyDescent="0.25">
      <c r="A80" s="32"/>
      <c r="B80" s="40"/>
      <c r="C80" s="37"/>
      <c r="D80" s="41" t="s">
        <v>146</v>
      </c>
      <c r="E80" s="32">
        <v>44</v>
      </c>
      <c r="F80" s="32" t="s">
        <v>168</v>
      </c>
      <c r="G80" s="34">
        <v>48.6</v>
      </c>
      <c r="H80" s="38"/>
      <c r="I80" s="39"/>
    </row>
    <row r="81" spans="1:9" x14ac:dyDescent="0.25">
      <c r="A81" s="32"/>
      <c r="B81" s="40"/>
      <c r="C81" s="37"/>
      <c r="D81" s="41"/>
      <c r="E81" s="32"/>
      <c r="F81" s="32"/>
      <c r="G81" s="34"/>
      <c r="H81" s="38"/>
      <c r="I81" s="39"/>
    </row>
    <row r="82" spans="1:9" ht="13" x14ac:dyDescent="0.3">
      <c r="A82" s="35" t="s">
        <v>117</v>
      </c>
      <c r="B82" s="40"/>
      <c r="C82" s="36">
        <f>(E76/E82)*G76+(E77/E82)*G77+(E78/E82)*G78+(E79/E82)*G79+(E80/E82)*G80</f>
        <v>53.229842931937171</v>
      </c>
      <c r="D82" s="41" t="s">
        <v>150</v>
      </c>
      <c r="E82" s="32">
        <f>SUM(E76:E80)</f>
        <v>191</v>
      </c>
      <c r="F82" s="32"/>
      <c r="G82" s="34"/>
      <c r="H82" s="38"/>
      <c r="I82" s="55">
        <f>C75/C82</f>
        <v>0.7802014379997837</v>
      </c>
    </row>
    <row r="84" spans="1:9" ht="34.5" x14ac:dyDescent="0.25">
      <c r="A84" s="30" t="s">
        <v>134</v>
      </c>
      <c r="B84" s="30" t="s">
        <v>135</v>
      </c>
      <c r="C84" s="30" t="s">
        <v>136</v>
      </c>
      <c r="D84" s="30" t="s">
        <v>137</v>
      </c>
      <c r="E84" s="30" t="s">
        <v>138</v>
      </c>
      <c r="F84" s="43" t="s">
        <v>45</v>
      </c>
      <c r="G84" s="31">
        <v>0.5</v>
      </c>
      <c r="H84" s="43" t="s">
        <v>139</v>
      </c>
      <c r="I84" s="31" t="s">
        <v>140</v>
      </c>
    </row>
    <row r="85" spans="1:9" ht="13" x14ac:dyDescent="0.3">
      <c r="A85" s="32"/>
      <c r="B85" s="33" t="s">
        <v>169</v>
      </c>
      <c r="C85" s="44">
        <f>AVERAGE(Data!C5,Data!C6)/1000</f>
        <v>34.060499999999998</v>
      </c>
      <c r="D85" s="41"/>
      <c r="E85" s="32" t="s">
        <v>142</v>
      </c>
      <c r="F85" s="32"/>
      <c r="G85" s="34" t="s">
        <v>142</v>
      </c>
      <c r="H85" s="38" t="s">
        <v>142</v>
      </c>
      <c r="I85" s="39" t="s">
        <v>142</v>
      </c>
    </row>
    <row r="86" spans="1:9" ht="25" x14ac:dyDescent="0.25">
      <c r="A86" s="32" t="s">
        <v>143</v>
      </c>
      <c r="B86" s="40"/>
      <c r="C86" s="37" t="s">
        <v>142</v>
      </c>
      <c r="D86" s="41" t="s">
        <v>144</v>
      </c>
      <c r="E86" s="32">
        <v>25</v>
      </c>
      <c r="F86" s="32" t="s">
        <v>170</v>
      </c>
      <c r="G86" s="34">
        <v>42.5</v>
      </c>
      <c r="H86" s="38"/>
      <c r="I86" s="39"/>
    </row>
    <row r="87" spans="1:9" x14ac:dyDescent="0.25">
      <c r="A87" s="32" t="s">
        <v>142</v>
      </c>
      <c r="B87" s="40"/>
      <c r="C87" s="37"/>
      <c r="D87" s="41" t="s">
        <v>146</v>
      </c>
      <c r="E87" s="32">
        <v>77</v>
      </c>
      <c r="F87" s="32" t="s">
        <v>170</v>
      </c>
      <c r="G87" s="34">
        <v>38.799999999999997</v>
      </c>
      <c r="H87" s="38"/>
      <c r="I87" s="39"/>
    </row>
    <row r="88" spans="1:9" ht="25" x14ac:dyDescent="0.25">
      <c r="A88" s="32"/>
      <c r="B88" s="40"/>
      <c r="C88" s="37"/>
      <c r="D88" s="41" t="s">
        <v>147</v>
      </c>
      <c r="E88" s="32">
        <v>6</v>
      </c>
      <c r="F88" s="32" t="s">
        <v>170</v>
      </c>
      <c r="G88" s="34">
        <v>30.6</v>
      </c>
      <c r="H88" s="38"/>
      <c r="I88" s="39"/>
    </row>
    <row r="89" spans="1:9" x14ac:dyDescent="0.25">
      <c r="A89" s="32" t="s">
        <v>148</v>
      </c>
      <c r="B89" s="40"/>
      <c r="C89" s="37"/>
      <c r="D89" s="41" t="s">
        <v>149</v>
      </c>
      <c r="E89" s="32">
        <v>8</v>
      </c>
      <c r="F89" s="32" t="s">
        <v>171</v>
      </c>
      <c r="G89" s="34">
        <v>37.299999999999997</v>
      </c>
      <c r="H89" s="38"/>
      <c r="I89" s="39"/>
    </row>
    <row r="90" spans="1:9" x14ac:dyDescent="0.25">
      <c r="A90" s="32"/>
      <c r="B90" s="40"/>
      <c r="C90" s="37"/>
      <c r="D90" s="41" t="s">
        <v>146</v>
      </c>
      <c r="E90" s="32">
        <v>41</v>
      </c>
      <c r="F90" s="32" t="s">
        <v>171</v>
      </c>
      <c r="G90" s="34">
        <v>36.4</v>
      </c>
      <c r="H90" s="38"/>
      <c r="I90" s="39"/>
    </row>
    <row r="91" spans="1:9" x14ac:dyDescent="0.25">
      <c r="A91" s="32"/>
      <c r="B91" s="40"/>
      <c r="C91" s="37"/>
      <c r="D91" s="41"/>
      <c r="E91" s="32"/>
      <c r="F91" s="32"/>
      <c r="G91" s="34"/>
      <c r="H91" s="38"/>
      <c r="I91" s="39"/>
    </row>
    <row r="92" spans="1:9" ht="13" x14ac:dyDescent="0.3">
      <c r="A92" s="35" t="s">
        <v>117</v>
      </c>
      <c r="B92" s="40"/>
      <c r="C92" s="36">
        <f>(E86/E92)*G86+(E87/E92)*G87+(E88/E92)*G88+(E89/E92)*G89+(E90/E92)*G90</f>
        <v>38.372611464968152</v>
      </c>
      <c r="D92" s="41" t="s">
        <v>150</v>
      </c>
      <c r="E92" s="32">
        <f>SUM(E86:E90)</f>
        <v>157</v>
      </c>
      <c r="F92" s="32"/>
      <c r="G92" s="34"/>
      <c r="H92" s="38"/>
      <c r="I92" s="55">
        <f>C85/C92</f>
        <v>0.88762528010623287</v>
      </c>
    </row>
    <row r="94" spans="1:9" ht="34.5" x14ac:dyDescent="0.25">
      <c r="A94" s="30" t="s">
        <v>134</v>
      </c>
      <c r="B94" s="30" t="s">
        <v>135</v>
      </c>
      <c r="C94" s="30" t="s">
        <v>136</v>
      </c>
      <c r="D94" s="30" t="s">
        <v>137</v>
      </c>
      <c r="E94" s="30" t="s">
        <v>138</v>
      </c>
      <c r="F94" s="43" t="s">
        <v>45</v>
      </c>
      <c r="G94" s="31">
        <v>0.5</v>
      </c>
      <c r="H94" s="43" t="s">
        <v>139</v>
      </c>
      <c r="I94" s="31" t="s">
        <v>140</v>
      </c>
    </row>
    <row r="95" spans="1:9" ht="13" x14ac:dyDescent="0.3">
      <c r="A95" s="32"/>
      <c r="B95" s="33" t="s">
        <v>172</v>
      </c>
      <c r="C95" s="44">
        <f>Data!C16/1000</f>
        <v>40.429000000000002</v>
      </c>
      <c r="D95" s="41"/>
      <c r="E95" s="32" t="s">
        <v>142</v>
      </c>
      <c r="F95" s="32"/>
      <c r="G95" s="34" t="s">
        <v>142</v>
      </c>
      <c r="H95" s="38" t="s">
        <v>142</v>
      </c>
      <c r="I95" s="39" t="s">
        <v>142</v>
      </c>
    </row>
    <row r="96" spans="1:9" ht="25" x14ac:dyDescent="0.25">
      <c r="A96" s="32" t="s">
        <v>143</v>
      </c>
      <c r="B96" s="40"/>
      <c r="C96" s="37" t="s">
        <v>142</v>
      </c>
      <c r="D96" s="41" t="s">
        <v>144</v>
      </c>
      <c r="E96" s="32">
        <v>25</v>
      </c>
      <c r="F96" s="32" t="s">
        <v>170</v>
      </c>
      <c r="G96" s="34">
        <v>42.5</v>
      </c>
      <c r="H96" s="38"/>
      <c r="I96" s="39"/>
    </row>
    <row r="97" spans="1:9" x14ac:dyDescent="0.25">
      <c r="A97" s="32" t="s">
        <v>142</v>
      </c>
      <c r="B97" s="40"/>
      <c r="C97" s="37"/>
      <c r="D97" s="41" t="s">
        <v>146</v>
      </c>
      <c r="E97" s="32">
        <v>77</v>
      </c>
      <c r="F97" s="32" t="s">
        <v>170</v>
      </c>
      <c r="G97" s="34">
        <v>38.799999999999997</v>
      </c>
      <c r="H97" s="38"/>
      <c r="I97" s="39"/>
    </row>
    <row r="98" spans="1:9" ht="25" x14ac:dyDescent="0.25">
      <c r="A98" s="32"/>
      <c r="B98" s="40"/>
      <c r="C98" s="37"/>
      <c r="D98" s="41" t="s">
        <v>147</v>
      </c>
      <c r="E98" s="32">
        <v>6</v>
      </c>
      <c r="F98" s="32" t="s">
        <v>170</v>
      </c>
      <c r="G98" s="34">
        <v>30.6</v>
      </c>
      <c r="H98" s="38"/>
      <c r="I98" s="39"/>
    </row>
    <row r="99" spans="1:9" x14ac:dyDescent="0.25">
      <c r="A99" s="32"/>
      <c r="B99" s="40"/>
      <c r="C99" s="37"/>
      <c r="D99" s="41"/>
      <c r="E99" s="32"/>
      <c r="F99" s="32"/>
      <c r="G99" s="34"/>
      <c r="H99" s="38"/>
      <c r="I99" s="39"/>
    </row>
    <row r="100" spans="1:9" ht="13" x14ac:dyDescent="0.3">
      <c r="A100" s="35" t="s">
        <v>117</v>
      </c>
      <c r="B100" s="40"/>
      <c r="C100" s="36">
        <f>(E96/E100)*G96+(E97/E100)*G97+(E98/E100)*G98</f>
        <v>39.200925925925922</v>
      </c>
      <c r="D100" s="41" t="s">
        <v>150</v>
      </c>
      <c r="E100" s="32">
        <f>SUM(E96:E98)</f>
        <v>108</v>
      </c>
      <c r="F100" s="32"/>
      <c r="G100" s="34"/>
      <c r="H100" s="38"/>
      <c r="I100" s="55">
        <f>C95/C100</f>
        <v>1.0313276802796609</v>
      </c>
    </row>
    <row r="102" spans="1:9" ht="34.5" x14ac:dyDescent="0.25">
      <c r="A102" s="30" t="s">
        <v>134</v>
      </c>
      <c r="B102" s="30" t="s">
        <v>135</v>
      </c>
      <c r="C102" s="30" t="s">
        <v>136</v>
      </c>
      <c r="D102" s="30" t="s">
        <v>137</v>
      </c>
      <c r="E102" s="30" t="s">
        <v>138</v>
      </c>
      <c r="F102" s="43" t="s">
        <v>45</v>
      </c>
      <c r="G102" s="31">
        <v>0.5</v>
      </c>
      <c r="H102" s="43" t="s">
        <v>139</v>
      </c>
      <c r="I102" s="31" t="s">
        <v>140</v>
      </c>
    </row>
    <row r="103" spans="1:9" ht="13" x14ac:dyDescent="0.3">
      <c r="A103" s="32"/>
      <c r="B103" s="33" t="s">
        <v>34</v>
      </c>
      <c r="C103" s="44">
        <f>Data!C14/1000</f>
        <v>32.81</v>
      </c>
      <c r="D103" s="41"/>
      <c r="E103" s="32" t="s">
        <v>142</v>
      </c>
      <c r="F103" s="32"/>
      <c r="G103" s="34" t="s">
        <v>142</v>
      </c>
      <c r="H103" s="38" t="s">
        <v>142</v>
      </c>
      <c r="I103" s="39" t="s">
        <v>142</v>
      </c>
    </row>
    <row r="104" spans="1:9" ht="25" x14ac:dyDescent="0.25">
      <c r="A104" s="32" t="s">
        <v>143</v>
      </c>
      <c r="B104" s="40"/>
      <c r="C104" s="37" t="s">
        <v>142</v>
      </c>
      <c r="D104" s="41" t="s">
        <v>144</v>
      </c>
      <c r="E104" s="32">
        <v>9</v>
      </c>
      <c r="F104" s="32" t="s">
        <v>173</v>
      </c>
      <c r="G104" s="34">
        <v>45.4</v>
      </c>
      <c r="H104" s="38"/>
      <c r="I104" s="39"/>
    </row>
    <row r="105" spans="1:9" x14ac:dyDescent="0.25">
      <c r="A105" s="32" t="s">
        <v>142</v>
      </c>
      <c r="B105" s="40"/>
      <c r="C105" s="37"/>
      <c r="D105" s="41" t="s">
        <v>146</v>
      </c>
      <c r="E105" s="32">
        <v>44</v>
      </c>
      <c r="F105" s="32" t="s">
        <v>173</v>
      </c>
      <c r="G105" s="34">
        <v>45.9</v>
      </c>
      <c r="H105" s="38"/>
      <c r="I105" s="39"/>
    </row>
    <row r="106" spans="1:9" ht="25" x14ac:dyDescent="0.25">
      <c r="A106" s="32"/>
      <c r="B106" s="40"/>
      <c r="C106" s="37"/>
      <c r="D106" s="41" t="s">
        <v>147</v>
      </c>
      <c r="E106" s="32">
        <v>5</v>
      </c>
      <c r="F106" s="32" t="s">
        <v>173</v>
      </c>
      <c r="G106" s="34">
        <v>43.5</v>
      </c>
      <c r="H106" s="38"/>
      <c r="I106" s="39"/>
    </row>
    <row r="107" spans="1:9" x14ac:dyDescent="0.25">
      <c r="A107" s="32" t="s">
        <v>148</v>
      </c>
      <c r="B107" s="40"/>
      <c r="C107" s="37"/>
      <c r="D107" s="41" t="s">
        <v>146</v>
      </c>
      <c r="E107" s="32">
        <v>18</v>
      </c>
      <c r="F107" s="32" t="s">
        <v>174</v>
      </c>
      <c r="G107" s="34">
        <v>39.299999999999997</v>
      </c>
      <c r="H107" s="38"/>
      <c r="I107" s="39"/>
    </row>
    <row r="108" spans="1:9" x14ac:dyDescent="0.25">
      <c r="A108" s="32"/>
      <c r="B108" s="40"/>
      <c r="C108" s="37"/>
      <c r="D108" s="41"/>
      <c r="E108" s="32"/>
      <c r="F108" s="32"/>
      <c r="G108" s="34"/>
      <c r="H108" s="38"/>
      <c r="I108" s="39"/>
    </row>
    <row r="109" spans="1:9" ht="13" x14ac:dyDescent="0.3">
      <c r="A109" s="35" t="s">
        <v>117</v>
      </c>
      <c r="B109" s="40"/>
      <c r="C109" s="36">
        <f>(E104/E109)*G104+(E105/E109)*G105+(E106/E109)*G106+(E107/E109)*G107</f>
        <v>44.119736842105254</v>
      </c>
      <c r="D109" s="41" t="s">
        <v>150</v>
      </c>
      <c r="E109" s="32">
        <f>SUM(E104:E107)</f>
        <v>76</v>
      </c>
      <c r="F109" s="32"/>
      <c r="G109" s="34"/>
      <c r="H109" s="38"/>
      <c r="I109" s="55">
        <f>C103/C109</f>
        <v>0.74365810742298188</v>
      </c>
    </row>
    <row r="111" spans="1:9" ht="34.5" x14ac:dyDescent="0.25">
      <c r="A111" s="30" t="s">
        <v>134</v>
      </c>
      <c r="B111" s="30" t="s">
        <v>135</v>
      </c>
      <c r="C111" s="30" t="s">
        <v>136</v>
      </c>
      <c r="D111" s="30" t="s">
        <v>137</v>
      </c>
      <c r="E111" s="30" t="s">
        <v>138</v>
      </c>
      <c r="F111" s="43" t="s">
        <v>45</v>
      </c>
      <c r="G111" s="31">
        <v>0.5</v>
      </c>
      <c r="H111" s="43" t="s">
        <v>139</v>
      </c>
      <c r="I111" s="31" t="s">
        <v>140</v>
      </c>
    </row>
    <row r="112" spans="1:9" ht="13" x14ac:dyDescent="0.3">
      <c r="A112" s="32"/>
      <c r="B112" s="33" t="s">
        <v>175</v>
      </c>
      <c r="C112" s="44">
        <f>Data!C36/1000</f>
        <v>69.733000000000004</v>
      </c>
      <c r="D112" s="41"/>
      <c r="E112" s="32" t="s">
        <v>142</v>
      </c>
      <c r="F112" s="32"/>
      <c r="G112" s="34" t="s">
        <v>142</v>
      </c>
      <c r="H112" s="38" t="s">
        <v>142</v>
      </c>
      <c r="I112" s="39" t="s">
        <v>142</v>
      </c>
    </row>
    <row r="113" spans="1:9" ht="25" x14ac:dyDescent="0.25">
      <c r="A113" s="32" t="s">
        <v>143</v>
      </c>
      <c r="B113" s="40"/>
      <c r="C113" s="37" t="s">
        <v>142</v>
      </c>
      <c r="D113" s="41" t="s">
        <v>144</v>
      </c>
      <c r="E113" s="32">
        <v>11</v>
      </c>
      <c r="F113" s="32" t="s">
        <v>176</v>
      </c>
      <c r="G113" s="34">
        <v>72.8</v>
      </c>
      <c r="H113" s="38"/>
      <c r="I113" s="39"/>
    </row>
    <row r="114" spans="1:9" x14ac:dyDescent="0.25">
      <c r="A114" s="32" t="s">
        <v>142</v>
      </c>
      <c r="B114" s="40"/>
      <c r="C114" s="37"/>
      <c r="D114" s="41" t="s">
        <v>146</v>
      </c>
      <c r="E114" s="32">
        <v>52</v>
      </c>
      <c r="F114" s="32" t="s">
        <v>176</v>
      </c>
      <c r="G114" s="34">
        <v>87</v>
      </c>
      <c r="H114" s="38"/>
      <c r="I114" s="39"/>
    </row>
    <row r="115" spans="1:9" ht="25" x14ac:dyDescent="0.25">
      <c r="A115" s="32"/>
      <c r="B115" s="40"/>
      <c r="C115" s="37"/>
      <c r="D115" s="41" t="s">
        <v>147</v>
      </c>
      <c r="E115" s="32">
        <v>6</v>
      </c>
      <c r="F115" s="32" t="s">
        <v>176</v>
      </c>
      <c r="G115" s="34">
        <v>92.5</v>
      </c>
      <c r="H115" s="38"/>
      <c r="I115" s="39"/>
    </row>
    <row r="116" spans="1:9" ht="25" x14ac:dyDescent="0.25">
      <c r="A116" s="32"/>
      <c r="B116" s="40"/>
      <c r="C116" s="37"/>
      <c r="D116" s="41" t="s">
        <v>144</v>
      </c>
      <c r="E116" s="32">
        <v>21</v>
      </c>
      <c r="F116" s="32" t="s">
        <v>177</v>
      </c>
      <c r="G116" s="34">
        <v>79.599999999999994</v>
      </c>
      <c r="H116" s="38"/>
      <c r="I116" s="39"/>
    </row>
    <row r="117" spans="1:9" x14ac:dyDescent="0.25">
      <c r="A117" s="32"/>
      <c r="B117" s="40"/>
      <c r="C117" s="37"/>
      <c r="D117" s="41" t="s">
        <v>146</v>
      </c>
      <c r="E117" s="32">
        <v>119</v>
      </c>
      <c r="F117" s="32" t="s">
        <v>177</v>
      </c>
      <c r="G117" s="34">
        <v>86.2</v>
      </c>
      <c r="H117" s="38"/>
      <c r="I117" s="39"/>
    </row>
    <row r="118" spans="1:9" ht="25" x14ac:dyDescent="0.25">
      <c r="A118" s="32"/>
      <c r="B118" s="40"/>
      <c r="C118" s="37"/>
      <c r="D118" s="41" t="s">
        <v>147</v>
      </c>
      <c r="E118" s="32">
        <v>11</v>
      </c>
      <c r="F118" s="32" t="s">
        <v>177</v>
      </c>
      <c r="G118" s="34">
        <v>82.5</v>
      </c>
      <c r="H118" s="38"/>
      <c r="I118" s="39"/>
    </row>
    <row r="119" spans="1:9" x14ac:dyDescent="0.25">
      <c r="A119" s="32" t="s">
        <v>148</v>
      </c>
      <c r="B119" s="40"/>
      <c r="C119" s="37"/>
      <c r="D119" s="41" t="s">
        <v>149</v>
      </c>
      <c r="E119" s="32">
        <v>10</v>
      </c>
      <c r="F119" s="32" t="s">
        <v>178</v>
      </c>
      <c r="G119" s="34">
        <v>78.3</v>
      </c>
      <c r="H119" s="38"/>
      <c r="I119" s="39"/>
    </row>
    <row r="120" spans="1:9" x14ac:dyDescent="0.25">
      <c r="A120" s="32"/>
      <c r="B120" s="40"/>
      <c r="C120" s="37"/>
      <c r="D120" s="41" t="s">
        <v>146</v>
      </c>
      <c r="E120" s="32">
        <v>57</v>
      </c>
      <c r="F120" s="32" t="s">
        <v>178</v>
      </c>
      <c r="G120" s="34">
        <v>86.7</v>
      </c>
      <c r="H120" s="38"/>
      <c r="I120" s="39"/>
    </row>
    <row r="121" spans="1:9" x14ac:dyDescent="0.25">
      <c r="A121" s="32"/>
      <c r="B121" s="40"/>
      <c r="C121" s="37"/>
      <c r="D121" s="41"/>
      <c r="E121" s="32"/>
      <c r="F121" s="32"/>
      <c r="G121" s="34"/>
      <c r="H121" s="38"/>
      <c r="I121" s="39"/>
    </row>
    <row r="122" spans="1:9" ht="13" x14ac:dyDescent="0.3">
      <c r="A122" s="35" t="s">
        <v>117</v>
      </c>
      <c r="B122" s="40"/>
      <c r="C122" s="36">
        <f>(E113/E122)*G113+(E114/E122)*G114+(E115/E122)*G115+(E116/E122)*G116+(E117/E122)*G117+(E118/E122)*G118+(E119/E122)*G119+(E120/E122)*G120</f>
        <v>85.162369337979101</v>
      </c>
      <c r="D122" s="41" t="s">
        <v>150</v>
      </c>
      <c r="E122" s="32">
        <f>SUM(E113:E120)</f>
        <v>287</v>
      </c>
      <c r="F122" s="32"/>
      <c r="G122" s="34"/>
      <c r="H122" s="38"/>
      <c r="I122" s="55">
        <f>C112/C122</f>
        <v>0.81882409498559827</v>
      </c>
    </row>
    <row r="124" spans="1:9" ht="34.5" x14ac:dyDescent="0.25">
      <c r="A124" s="30" t="s">
        <v>134</v>
      </c>
      <c r="B124" s="30" t="s">
        <v>135</v>
      </c>
      <c r="C124" s="30" t="s">
        <v>136</v>
      </c>
      <c r="D124" s="30" t="s">
        <v>137</v>
      </c>
      <c r="E124" s="30" t="s">
        <v>138</v>
      </c>
      <c r="F124" s="43" t="s">
        <v>45</v>
      </c>
      <c r="G124" s="31">
        <v>0.5</v>
      </c>
      <c r="H124" s="43" t="s">
        <v>139</v>
      </c>
      <c r="I124" s="31" t="s">
        <v>140</v>
      </c>
    </row>
    <row r="125" spans="1:9" ht="13" x14ac:dyDescent="0.3">
      <c r="A125" s="32"/>
      <c r="B125" s="33" t="s">
        <v>37</v>
      </c>
      <c r="C125" s="44">
        <f>Data!C4/1000</f>
        <v>44.526000000000003</v>
      </c>
      <c r="D125" s="41"/>
      <c r="E125" s="32" t="s">
        <v>142</v>
      </c>
      <c r="F125" s="32"/>
      <c r="G125" s="34" t="s">
        <v>142</v>
      </c>
      <c r="H125" s="38" t="s">
        <v>142</v>
      </c>
      <c r="I125" s="39" t="s">
        <v>142</v>
      </c>
    </row>
    <row r="126" spans="1:9" ht="25" x14ac:dyDescent="0.25">
      <c r="A126" s="32" t="s">
        <v>143</v>
      </c>
      <c r="B126" s="40"/>
      <c r="C126" s="37" t="s">
        <v>142</v>
      </c>
      <c r="D126" s="41" t="s">
        <v>144</v>
      </c>
      <c r="E126" s="32">
        <v>32</v>
      </c>
      <c r="F126" s="32" t="s">
        <v>37</v>
      </c>
      <c r="G126" s="34">
        <v>37.1</v>
      </c>
      <c r="H126" s="38"/>
      <c r="I126" s="39"/>
    </row>
    <row r="127" spans="1:9" x14ac:dyDescent="0.25">
      <c r="A127" s="32" t="s">
        <v>142</v>
      </c>
      <c r="B127" s="40"/>
      <c r="C127" s="37"/>
      <c r="D127" s="41" t="s">
        <v>146</v>
      </c>
      <c r="E127" s="32">
        <v>126</v>
      </c>
      <c r="F127" s="32" t="s">
        <v>37</v>
      </c>
      <c r="G127" s="34">
        <v>35.200000000000003</v>
      </c>
      <c r="H127" s="38"/>
      <c r="I127" s="39"/>
    </row>
    <row r="128" spans="1:9" ht="25" x14ac:dyDescent="0.25">
      <c r="A128" s="32"/>
      <c r="B128" s="40"/>
      <c r="C128" s="37"/>
      <c r="D128" s="41" t="s">
        <v>147</v>
      </c>
      <c r="E128" s="32">
        <v>19</v>
      </c>
      <c r="F128" s="32" t="s">
        <v>37</v>
      </c>
      <c r="G128" s="34">
        <v>33.299999999999997</v>
      </c>
      <c r="H128" s="38"/>
      <c r="I128" s="39"/>
    </row>
    <row r="129" spans="1:9" x14ac:dyDescent="0.25">
      <c r="A129" s="32" t="s">
        <v>148</v>
      </c>
      <c r="B129" s="40"/>
      <c r="C129" s="37"/>
      <c r="D129" s="41" t="s">
        <v>149</v>
      </c>
      <c r="E129" s="32">
        <v>16</v>
      </c>
      <c r="F129" s="32" t="s">
        <v>37</v>
      </c>
      <c r="G129" s="34">
        <v>34.1</v>
      </c>
      <c r="H129" s="38"/>
      <c r="I129" s="39"/>
    </row>
    <row r="130" spans="1:9" x14ac:dyDescent="0.25">
      <c r="A130" s="32"/>
      <c r="B130" s="40"/>
      <c r="C130" s="37"/>
      <c r="D130" s="41" t="s">
        <v>146</v>
      </c>
      <c r="E130" s="32">
        <v>88</v>
      </c>
      <c r="F130" s="32" t="s">
        <v>37</v>
      </c>
      <c r="G130" s="34">
        <v>35.4</v>
      </c>
      <c r="H130" s="38"/>
      <c r="I130" s="39"/>
    </row>
    <row r="131" spans="1:9" x14ac:dyDescent="0.25">
      <c r="A131" s="32"/>
      <c r="B131" s="40"/>
      <c r="C131" s="37"/>
      <c r="D131" s="41"/>
      <c r="E131" s="32"/>
      <c r="F131" s="32"/>
      <c r="G131" s="34"/>
      <c r="H131" s="38"/>
      <c r="I131" s="39"/>
    </row>
    <row r="132" spans="1:9" ht="13" x14ac:dyDescent="0.3">
      <c r="A132" s="35" t="s">
        <v>117</v>
      </c>
      <c r="B132" s="40"/>
      <c r="C132" s="36">
        <f>(E126/E132)*G126+(E127/E132)*G127+(E128/E132)*G128+(E129/E132)*G129+(E130/E132)*G130</f>
        <v>35.287900355871884</v>
      </c>
      <c r="D132" s="41" t="s">
        <v>150</v>
      </c>
      <c r="E132" s="32">
        <f>SUM(E126:E130)</f>
        <v>281</v>
      </c>
      <c r="F132" s="32"/>
      <c r="G132" s="34"/>
      <c r="H132" s="38"/>
      <c r="I132" s="55">
        <f>C125/C132</f>
        <v>1.2617922730160653</v>
      </c>
    </row>
    <row r="134" spans="1:9" ht="34.5" x14ac:dyDescent="0.25">
      <c r="A134" s="30" t="s">
        <v>134</v>
      </c>
      <c r="B134" s="30" t="s">
        <v>135</v>
      </c>
      <c r="C134" s="30" t="s">
        <v>136</v>
      </c>
      <c r="D134" s="30" t="s">
        <v>137</v>
      </c>
      <c r="E134" s="30" t="s">
        <v>138</v>
      </c>
      <c r="F134" s="43" t="s">
        <v>45</v>
      </c>
      <c r="G134" s="31">
        <v>0.5</v>
      </c>
      <c r="H134" s="43" t="s">
        <v>139</v>
      </c>
      <c r="I134" s="31" t="s">
        <v>140</v>
      </c>
    </row>
    <row r="135" spans="1:9" ht="13" x14ac:dyDescent="0.3">
      <c r="A135" s="32"/>
      <c r="B135" s="33" t="s">
        <v>179</v>
      </c>
      <c r="C135" s="44">
        <f>Data!C21/1000</f>
        <v>49.508000000000003</v>
      </c>
      <c r="D135" s="41"/>
      <c r="E135" s="32" t="s">
        <v>142</v>
      </c>
      <c r="F135" s="32"/>
      <c r="G135" s="34" t="s">
        <v>142</v>
      </c>
      <c r="H135" s="38" t="s">
        <v>142</v>
      </c>
      <c r="I135" s="39" t="s">
        <v>142</v>
      </c>
    </row>
    <row r="136" spans="1:9" ht="25" x14ac:dyDescent="0.25">
      <c r="A136" s="32" t="s">
        <v>143</v>
      </c>
      <c r="B136" s="40"/>
      <c r="C136" s="37" t="s">
        <v>142</v>
      </c>
      <c r="D136" s="41" t="s">
        <v>144</v>
      </c>
      <c r="E136" s="32">
        <v>38</v>
      </c>
      <c r="F136" s="32" t="s">
        <v>145</v>
      </c>
      <c r="G136" s="34">
        <v>45.4</v>
      </c>
      <c r="H136" s="38"/>
      <c r="I136" s="39"/>
    </row>
    <row r="137" spans="1:9" x14ac:dyDescent="0.25">
      <c r="A137" s="32" t="s">
        <v>142</v>
      </c>
      <c r="B137" s="40"/>
      <c r="C137" s="37"/>
      <c r="D137" s="41" t="s">
        <v>146</v>
      </c>
      <c r="E137" s="32">
        <v>143</v>
      </c>
      <c r="F137" s="32" t="s">
        <v>145</v>
      </c>
      <c r="G137" s="34">
        <v>48</v>
      </c>
      <c r="H137" s="38"/>
      <c r="I137" s="39"/>
    </row>
    <row r="138" spans="1:9" ht="25" x14ac:dyDescent="0.25">
      <c r="A138" s="32"/>
      <c r="B138" s="40"/>
      <c r="C138" s="37"/>
      <c r="D138" s="41" t="s">
        <v>147</v>
      </c>
      <c r="E138" s="32">
        <v>11</v>
      </c>
      <c r="F138" s="32" t="s">
        <v>145</v>
      </c>
      <c r="G138" s="34">
        <v>50.2</v>
      </c>
      <c r="H138" s="38"/>
      <c r="I138" s="39"/>
    </row>
    <row r="139" spans="1:9" x14ac:dyDescent="0.25">
      <c r="A139" s="32" t="s">
        <v>148</v>
      </c>
      <c r="B139" s="40"/>
      <c r="C139" s="37"/>
      <c r="D139" s="41" t="s">
        <v>149</v>
      </c>
      <c r="E139" s="32">
        <v>19</v>
      </c>
      <c r="F139" s="32" t="s">
        <v>145</v>
      </c>
      <c r="G139" s="34">
        <v>45.3</v>
      </c>
      <c r="H139" s="38"/>
      <c r="I139" s="39"/>
    </row>
    <row r="140" spans="1:9" x14ac:dyDescent="0.25">
      <c r="A140" s="32"/>
      <c r="B140" s="40"/>
      <c r="C140" s="37"/>
      <c r="D140" s="41" t="s">
        <v>146</v>
      </c>
      <c r="E140" s="32">
        <v>79</v>
      </c>
      <c r="F140" s="32" t="s">
        <v>145</v>
      </c>
      <c r="G140" s="34">
        <v>49</v>
      </c>
      <c r="H140" s="38"/>
      <c r="I140" s="39"/>
    </row>
    <row r="141" spans="1:9" x14ac:dyDescent="0.25">
      <c r="A141" s="32"/>
      <c r="B141" s="40"/>
      <c r="C141" s="37"/>
      <c r="D141" s="41"/>
      <c r="E141" s="32"/>
      <c r="F141" s="32"/>
      <c r="G141" s="34"/>
      <c r="H141" s="38"/>
      <c r="I141" s="39"/>
    </row>
    <row r="142" spans="1:9" ht="13" x14ac:dyDescent="0.3">
      <c r="A142" s="35" t="s">
        <v>117</v>
      </c>
      <c r="B142" s="40"/>
      <c r="C142" s="36">
        <f>(E136/E142)*G136+(E137/E142)*G137+(E138/E142)*G138+(E139/E142)*G139+(E140/E142)*G140</f>
        <v>47.838275862068969</v>
      </c>
      <c r="D142" s="41" t="s">
        <v>150</v>
      </c>
      <c r="E142" s="32">
        <f>SUM(E136:E140)</f>
        <v>290</v>
      </c>
      <c r="F142" s="32"/>
      <c r="G142" s="34"/>
      <c r="H142" s="38"/>
      <c r="I142" s="55">
        <f>C135/C142</f>
        <v>1.0349035183196258</v>
      </c>
    </row>
    <row r="144" spans="1:9" ht="34.5" x14ac:dyDescent="0.25">
      <c r="A144" s="30" t="s">
        <v>134</v>
      </c>
      <c r="B144" s="30" t="s">
        <v>135</v>
      </c>
      <c r="C144" s="30" t="s">
        <v>136</v>
      </c>
      <c r="D144" s="30" t="s">
        <v>137</v>
      </c>
      <c r="E144" s="30" t="s">
        <v>138</v>
      </c>
      <c r="F144" s="43" t="s">
        <v>45</v>
      </c>
      <c r="G144" s="31">
        <v>0.5</v>
      </c>
      <c r="H144" s="43" t="s">
        <v>139</v>
      </c>
      <c r="I144" s="31" t="s">
        <v>140</v>
      </c>
    </row>
    <row r="145" spans="1:9" ht="13" x14ac:dyDescent="0.3">
      <c r="A145" s="32"/>
      <c r="B145" s="33" t="s">
        <v>39</v>
      </c>
      <c r="C145" s="44">
        <f>Data!C29/1000</f>
        <v>51.082000000000001</v>
      </c>
      <c r="D145" s="41"/>
      <c r="E145" s="32" t="s">
        <v>142</v>
      </c>
      <c r="F145" s="32"/>
      <c r="G145" s="34" t="s">
        <v>142</v>
      </c>
      <c r="H145" s="38" t="s">
        <v>142</v>
      </c>
      <c r="I145" s="39" t="s">
        <v>142</v>
      </c>
    </row>
    <row r="146" spans="1:9" ht="25" x14ac:dyDescent="0.25">
      <c r="A146" s="32" t="s">
        <v>143</v>
      </c>
      <c r="B146" s="40"/>
      <c r="C146" s="37" t="s">
        <v>142</v>
      </c>
      <c r="D146" s="41" t="s">
        <v>144</v>
      </c>
      <c r="E146" s="32">
        <v>21</v>
      </c>
      <c r="F146" s="32" t="s">
        <v>180</v>
      </c>
      <c r="G146" s="34">
        <v>67.8</v>
      </c>
      <c r="H146" s="38"/>
      <c r="I146" s="39"/>
    </row>
    <row r="147" spans="1:9" x14ac:dyDescent="0.25">
      <c r="A147" s="32" t="s">
        <v>142</v>
      </c>
      <c r="B147" s="40"/>
      <c r="C147" s="37"/>
      <c r="D147" s="41" t="s">
        <v>146</v>
      </c>
      <c r="E147" s="32">
        <v>82</v>
      </c>
      <c r="F147" s="32" t="s">
        <v>180</v>
      </c>
      <c r="G147" s="34">
        <v>71.8</v>
      </c>
      <c r="H147" s="38"/>
      <c r="I147" s="39"/>
    </row>
    <row r="148" spans="1:9" ht="25" x14ac:dyDescent="0.25">
      <c r="A148" s="32"/>
      <c r="B148" s="40"/>
      <c r="C148" s="37"/>
      <c r="D148" s="41" t="s">
        <v>147</v>
      </c>
      <c r="E148" s="32">
        <v>15</v>
      </c>
      <c r="F148" s="32" t="s">
        <v>180</v>
      </c>
      <c r="G148" s="34">
        <v>73.900000000000006</v>
      </c>
      <c r="H148" s="38"/>
      <c r="I148" s="39"/>
    </row>
    <row r="149" spans="1:9" x14ac:dyDescent="0.25">
      <c r="A149" s="32" t="s">
        <v>148</v>
      </c>
      <c r="B149" s="40"/>
      <c r="C149" s="37"/>
      <c r="D149" s="41" t="s">
        <v>149</v>
      </c>
      <c r="E149" s="32">
        <v>5</v>
      </c>
      <c r="F149" s="32" t="s">
        <v>180</v>
      </c>
      <c r="G149" s="34">
        <v>63.1</v>
      </c>
      <c r="H149" s="38"/>
      <c r="I149" s="39"/>
    </row>
    <row r="150" spans="1:9" x14ac:dyDescent="0.25">
      <c r="A150" s="32"/>
      <c r="B150" s="40"/>
      <c r="C150" s="37"/>
      <c r="D150" s="41" t="s">
        <v>146</v>
      </c>
      <c r="E150" s="32">
        <v>41</v>
      </c>
      <c r="F150" s="32" t="s">
        <v>180</v>
      </c>
      <c r="G150" s="34">
        <v>60.6</v>
      </c>
      <c r="H150" s="38"/>
      <c r="I150" s="39"/>
    </row>
    <row r="151" spans="1:9" x14ac:dyDescent="0.25">
      <c r="A151" s="32"/>
      <c r="B151" s="40"/>
      <c r="C151" s="37"/>
      <c r="D151" s="41"/>
      <c r="E151" s="32"/>
      <c r="F151" s="32"/>
      <c r="G151" s="34"/>
      <c r="H151" s="38"/>
      <c r="I151" s="39"/>
    </row>
    <row r="152" spans="1:9" ht="13" x14ac:dyDescent="0.3">
      <c r="A152" s="35" t="s">
        <v>117</v>
      </c>
      <c r="B152" s="40"/>
      <c r="C152" s="36">
        <f>(E146/E152)*G146+(E147/E152)*G147+(E148/E152)*G148+(E149/E152)*G149+(E150/E152)*G150</f>
        <v>68.414634146341456</v>
      </c>
      <c r="D152" s="41" t="s">
        <v>150</v>
      </c>
      <c r="E152" s="32">
        <f>SUM(E146:E150)</f>
        <v>164</v>
      </c>
      <c r="F152" s="32"/>
      <c r="G152" s="34"/>
      <c r="H152" s="38"/>
      <c r="I152" s="55">
        <f>C145/C152</f>
        <v>0.74665311942959012</v>
      </c>
    </row>
    <row r="154" spans="1:9" ht="34.5" x14ac:dyDescent="0.25">
      <c r="A154" s="30" t="s">
        <v>134</v>
      </c>
      <c r="B154" s="30" t="s">
        <v>135</v>
      </c>
      <c r="C154" s="30" t="s">
        <v>136</v>
      </c>
      <c r="D154" s="30" t="s">
        <v>137</v>
      </c>
      <c r="E154" s="30" t="s">
        <v>138</v>
      </c>
      <c r="F154" s="43" t="s">
        <v>45</v>
      </c>
      <c r="G154" s="31">
        <v>0.5</v>
      </c>
      <c r="H154" s="43" t="s">
        <v>139</v>
      </c>
      <c r="I154" s="31" t="s">
        <v>140</v>
      </c>
    </row>
    <row r="155" spans="1:9" ht="13" x14ac:dyDescent="0.3">
      <c r="A155" s="32"/>
      <c r="B155" s="33" t="s">
        <v>181</v>
      </c>
      <c r="C155" s="44">
        <f>Data!C3/1000</f>
        <v>36.26</v>
      </c>
      <c r="D155" s="41"/>
      <c r="E155" s="32" t="s">
        <v>142</v>
      </c>
      <c r="F155" s="32"/>
      <c r="G155" s="34" t="s">
        <v>142</v>
      </c>
      <c r="H155" s="38" t="s">
        <v>142</v>
      </c>
      <c r="I155" s="39" t="s">
        <v>142</v>
      </c>
    </row>
    <row r="156" spans="1:9" ht="25" x14ac:dyDescent="0.25">
      <c r="A156" s="32" t="s">
        <v>143</v>
      </c>
      <c r="B156" s="40"/>
      <c r="C156" s="37" t="s">
        <v>142</v>
      </c>
      <c r="D156" s="41" t="s">
        <v>144</v>
      </c>
      <c r="E156" s="32">
        <v>25</v>
      </c>
      <c r="F156" s="32" t="s">
        <v>170</v>
      </c>
      <c r="G156" s="34">
        <v>42.5</v>
      </c>
      <c r="H156" s="38"/>
      <c r="I156" s="39"/>
    </row>
    <row r="157" spans="1:9" x14ac:dyDescent="0.25">
      <c r="A157" s="32" t="s">
        <v>142</v>
      </c>
      <c r="B157" s="40"/>
      <c r="C157" s="37"/>
      <c r="D157" s="41" t="s">
        <v>146</v>
      </c>
      <c r="E157" s="32">
        <v>77</v>
      </c>
      <c r="F157" s="32" t="s">
        <v>170</v>
      </c>
      <c r="G157" s="34">
        <v>38.799999999999997</v>
      </c>
      <c r="H157" s="38"/>
      <c r="I157" s="39"/>
    </row>
    <row r="158" spans="1:9" ht="25" x14ac:dyDescent="0.25">
      <c r="A158" s="32"/>
      <c r="B158" s="40"/>
      <c r="C158" s="37"/>
      <c r="D158" s="41" t="s">
        <v>147</v>
      </c>
      <c r="E158" s="32">
        <v>6</v>
      </c>
      <c r="F158" s="32" t="s">
        <v>170</v>
      </c>
      <c r="G158" s="34">
        <v>30.6</v>
      </c>
      <c r="H158" s="38"/>
      <c r="I158" s="39"/>
    </row>
    <row r="159" spans="1:9" x14ac:dyDescent="0.25">
      <c r="A159" s="32" t="s">
        <v>148</v>
      </c>
      <c r="B159" s="40"/>
      <c r="C159" s="37"/>
      <c r="D159" s="41" t="s">
        <v>149</v>
      </c>
      <c r="E159" s="32">
        <v>8</v>
      </c>
      <c r="F159" s="32" t="s">
        <v>171</v>
      </c>
      <c r="G159" s="34">
        <v>37.299999999999997</v>
      </c>
      <c r="H159" s="38"/>
      <c r="I159" s="39"/>
    </row>
    <row r="160" spans="1:9" x14ac:dyDescent="0.25">
      <c r="A160" s="32"/>
      <c r="B160" s="40"/>
      <c r="C160" s="37"/>
      <c r="D160" s="41" t="s">
        <v>146</v>
      </c>
      <c r="E160" s="32">
        <v>41</v>
      </c>
      <c r="F160" s="32" t="s">
        <v>171</v>
      </c>
      <c r="G160" s="34">
        <v>36.4</v>
      </c>
      <c r="H160" s="38"/>
      <c r="I160" s="39"/>
    </row>
    <row r="161" spans="1:9" x14ac:dyDescent="0.25">
      <c r="A161" s="32"/>
      <c r="B161" s="40"/>
      <c r="C161" s="37"/>
      <c r="D161" s="41"/>
      <c r="E161" s="32"/>
      <c r="F161" s="32"/>
      <c r="G161" s="34"/>
      <c r="H161" s="38"/>
      <c r="I161" s="39"/>
    </row>
    <row r="162" spans="1:9" ht="13" x14ac:dyDescent="0.3">
      <c r="A162" s="35" t="s">
        <v>117</v>
      </c>
      <c r="B162" s="40"/>
      <c r="C162" s="36">
        <f>(E156/E162)*G156+(E157/E162)*G157+(E158/E162)*G158+(E159/E162)*G159+(E160/E162)*G160</f>
        <v>38.372611464968152</v>
      </c>
      <c r="D162" s="41" t="s">
        <v>150</v>
      </c>
      <c r="E162" s="32">
        <f>SUM(E156:E160)</f>
        <v>157</v>
      </c>
      <c r="F162" s="32"/>
      <c r="G162" s="34"/>
      <c r="H162" s="38"/>
      <c r="I162" s="55">
        <f>C155/C162</f>
        <v>0.94494480869781716</v>
      </c>
    </row>
    <row r="164" spans="1:9" ht="34.5" x14ac:dyDescent="0.25">
      <c r="A164" s="30" t="s">
        <v>134</v>
      </c>
      <c r="B164" s="30" t="s">
        <v>135</v>
      </c>
      <c r="C164" s="30" t="s">
        <v>136</v>
      </c>
      <c r="D164" s="30" t="s">
        <v>137</v>
      </c>
      <c r="E164" s="30" t="s">
        <v>138</v>
      </c>
      <c r="F164" s="43" t="s">
        <v>45</v>
      </c>
      <c r="G164" s="31">
        <v>0.5</v>
      </c>
      <c r="H164" s="43" t="s">
        <v>139</v>
      </c>
      <c r="I164" s="31" t="s">
        <v>140</v>
      </c>
    </row>
    <row r="165" spans="1:9" ht="13" x14ac:dyDescent="0.3">
      <c r="A165" s="32"/>
      <c r="B165" s="33" t="s">
        <v>182</v>
      </c>
      <c r="C165" s="44">
        <f>Data!C30/1000</f>
        <v>64.754999999999995</v>
      </c>
      <c r="D165" s="41"/>
      <c r="E165" s="32" t="s">
        <v>142</v>
      </c>
      <c r="F165" s="32"/>
      <c r="G165" s="34" t="s">
        <v>142</v>
      </c>
      <c r="H165" s="38" t="s">
        <v>142</v>
      </c>
      <c r="I165" s="39" t="s">
        <v>142</v>
      </c>
    </row>
    <row r="166" spans="1:9" ht="25" x14ac:dyDescent="0.25">
      <c r="A166" s="32" t="s">
        <v>143</v>
      </c>
      <c r="B166" s="40"/>
      <c r="C166" s="37" t="s">
        <v>142</v>
      </c>
      <c r="D166" s="41" t="s">
        <v>144</v>
      </c>
      <c r="E166" s="32">
        <v>10</v>
      </c>
      <c r="F166" s="32" t="s">
        <v>183</v>
      </c>
      <c r="G166" s="34">
        <v>71.099999999999994</v>
      </c>
      <c r="H166" s="38"/>
      <c r="I166" s="39"/>
    </row>
    <row r="167" spans="1:9" x14ac:dyDescent="0.25">
      <c r="A167" s="32" t="s">
        <v>142</v>
      </c>
      <c r="B167" s="40"/>
      <c r="C167" s="37"/>
      <c r="D167" s="41" t="s">
        <v>146</v>
      </c>
      <c r="E167" s="32">
        <v>27</v>
      </c>
      <c r="F167" s="32" t="s">
        <v>183</v>
      </c>
      <c r="G167" s="34">
        <v>70.3</v>
      </c>
      <c r="H167" s="38"/>
      <c r="I167" s="39"/>
    </row>
    <row r="168" spans="1:9" x14ac:dyDescent="0.25">
      <c r="A168" s="32"/>
      <c r="B168" s="40"/>
      <c r="C168" s="37"/>
      <c r="D168" s="41"/>
      <c r="E168" s="32"/>
      <c r="F168" s="32"/>
      <c r="G168" s="34"/>
      <c r="H168" s="38"/>
      <c r="I168" s="39"/>
    </row>
    <row r="169" spans="1:9" ht="13" x14ac:dyDescent="0.3">
      <c r="A169" s="35" t="s">
        <v>117</v>
      </c>
      <c r="B169" s="40"/>
      <c r="C169" s="36">
        <f>(E166/E169)*G166+(E167/E169)*G167</f>
        <v>70.516216216216208</v>
      </c>
      <c r="D169" s="41" t="s">
        <v>150</v>
      </c>
      <c r="E169" s="32">
        <f>SUM(E166:E167)</f>
        <v>37</v>
      </c>
      <c r="F169" s="32"/>
      <c r="G169" s="34"/>
      <c r="H169" s="38"/>
      <c r="I169" s="55">
        <f>C165/C169</f>
        <v>0.91829941359089351</v>
      </c>
    </row>
    <row r="171" spans="1:9" x14ac:dyDescent="0.25">
      <c r="A171" s="30"/>
      <c r="B171" s="30"/>
      <c r="C171" s="30"/>
      <c r="D171" s="30"/>
      <c r="E171" s="30"/>
      <c r="F171" s="43"/>
      <c r="G171" s="31"/>
      <c r="H171" s="43"/>
      <c r="I171" s="31"/>
    </row>
    <row r="172" spans="1:9" ht="13" x14ac:dyDescent="0.3">
      <c r="A172" s="32"/>
      <c r="B172" s="63"/>
      <c r="C172" s="44"/>
      <c r="D172" s="41"/>
      <c r="E172" s="32"/>
      <c r="F172" s="32"/>
      <c r="G172" s="34"/>
      <c r="H172" s="34"/>
      <c r="I172" s="64"/>
    </row>
    <row r="173" spans="1:9" x14ac:dyDescent="0.25">
      <c r="A173" s="32"/>
      <c r="B173" s="32"/>
      <c r="C173" s="44"/>
      <c r="D173" s="41"/>
      <c r="E173" s="32"/>
      <c r="F173" s="32"/>
      <c r="G173" s="34"/>
      <c r="H173" s="34"/>
      <c r="I173" s="64"/>
    </row>
    <row r="174" spans="1:9" x14ac:dyDescent="0.25">
      <c r="A174" s="32"/>
      <c r="B174" s="32"/>
      <c r="C174" s="44"/>
      <c r="D174" s="41"/>
      <c r="E174" s="32"/>
      <c r="F174" s="32"/>
      <c r="G174" s="34"/>
      <c r="H174" s="34"/>
      <c r="I174" s="64"/>
    </row>
    <row r="175" spans="1:9" ht="13" x14ac:dyDescent="0.3">
      <c r="A175" s="35"/>
      <c r="B175" s="32"/>
      <c r="C175" s="44"/>
      <c r="D175" s="41"/>
      <c r="E175" s="32"/>
      <c r="F175" s="32"/>
      <c r="G175" s="34"/>
      <c r="H175" s="34"/>
      <c r="I175" s="64"/>
    </row>
    <row r="177" spans="1:9" ht="34.5" x14ac:dyDescent="0.25">
      <c r="A177" s="30" t="s">
        <v>134</v>
      </c>
      <c r="B177" s="30" t="s">
        <v>135</v>
      </c>
      <c r="C177" s="30" t="s">
        <v>136</v>
      </c>
      <c r="D177" s="30" t="s">
        <v>137</v>
      </c>
      <c r="E177" s="30" t="s">
        <v>138</v>
      </c>
      <c r="F177" s="43" t="s">
        <v>45</v>
      </c>
      <c r="G177" s="31">
        <v>0.5</v>
      </c>
      <c r="H177" s="43" t="s">
        <v>139</v>
      </c>
      <c r="I177" s="31" t="s">
        <v>140</v>
      </c>
    </row>
    <row r="178" spans="1:9" ht="13" x14ac:dyDescent="0.3">
      <c r="A178" s="32"/>
      <c r="B178" s="33" t="s">
        <v>184</v>
      </c>
      <c r="C178" s="44">
        <f>Data!C28/1000</f>
        <v>67.040000000000006</v>
      </c>
      <c r="D178" s="41"/>
      <c r="E178" s="32" t="s">
        <v>142</v>
      </c>
      <c r="F178" s="32"/>
      <c r="G178" s="34" t="s">
        <v>142</v>
      </c>
      <c r="H178" s="38" t="s">
        <v>142</v>
      </c>
      <c r="I178" s="39" t="s">
        <v>142</v>
      </c>
    </row>
    <row r="179" spans="1:9" x14ac:dyDescent="0.25">
      <c r="A179" s="32" t="s">
        <v>148</v>
      </c>
      <c r="B179" s="40"/>
      <c r="C179" s="37"/>
      <c r="D179" s="41" t="s">
        <v>149</v>
      </c>
      <c r="E179" s="32">
        <v>12</v>
      </c>
      <c r="F179" s="32" t="s">
        <v>185</v>
      </c>
      <c r="G179" s="34">
        <v>56.8</v>
      </c>
      <c r="H179" s="38"/>
      <c r="I179" s="39"/>
    </row>
    <row r="180" spans="1:9" x14ac:dyDescent="0.25">
      <c r="A180" s="32"/>
      <c r="B180" s="40"/>
      <c r="C180" s="37"/>
      <c r="D180" s="41" t="s">
        <v>146</v>
      </c>
      <c r="E180" s="32">
        <v>14</v>
      </c>
      <c r="F180" s="32" t="s">
        <v>185</v>
      </c>
      <c r="G180" s="34">
        <v>58.8</v>
      </c>
      <c r="H180" s="38"/>
      <c r="I180" s="39"/>
    </row>
    <row r="181" spans="1:9" x14ac:dyDescent="0.25">
      <c r="A181" s="32"/>
      <c r="B181" s="40"/>
      <c r="C181" s="37"/>
      <c r="D181" s="41"/>
      <c r="E181" s="32"/>
      <c r="F181" s="32"/>
      <c r="G181" s="34"/>
      <c r="H181" s="38"/>
      <c r="I181" s="39"/>
    </row>
    <row r="182" spans="1:9" ht="13" x14ac:dyDescent="0.3">
      <c r="A182" s="35" t="s">
        <v>117</v>
      </c>
      <c r="B182" s="40"/>
      <c r="C182" s="36">
        <f>(E179/E182)*G179+(E180/E182)*G180</f>
        <v>57.876923076923077</v>
      </c>
      <c r="D182" s="41" t="s">
        <v>150</v>
      </c>
      <c r="E182" s="32">
        <f>SUM(E179:E180)</f>
        <v>26</v>
      </c>
      <c r="F182" s="32"/>
      <c r="G182" s="34"/>
      <c r="H182" s="38"/>
      <c r="I182" s="55">
        <f>C178/C182</f>
        <v>1.1583200425305689</v>
      </c>
    </row>
  </sheetData>
  <pageMargins left="0.75" right="0.75" top="1" bottom="1" header="0.5" footer="0.5"/>
  <pageSetup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D888-F810-4F20-AA4E-19645A055A55}">
  <dimension ref="A1:N45"/>
  <sheetViews>
    <sheetView workbookViewId="0">
      <pane ySplit="1" topLeftCell="A2" activePane="bottomLeft" state="frozen"/>
      <selection pane="bottomLeft" activeCell="G12" sqref="G12"/>
    </sheetView>
  </sheetViews>
  <sheetFormatPr defaultRowHeight="13.5" x14ac:dyDescent="0.3"/>
  <cols>
    <col min="1" max="1" width="36.23046875" customWidth="1"/>
    <col min="2" max="2" width="18.921875" customWidth="1"/>
    <col min="3" max="3" width="13.921875" customWidth="1"/>
    <col min="4" max="4" width="12.84375" customWidth="1"/>
    <col min="5" max="8" width="11.3046875" customWidth="1"/>
    <col min="12" max="12" width="36.23046875" customWidth="1"/>
    <col min="13" max="13" width="17.921875" customWidth="1"/>
  </cols>
  <sheetData>
    <row r="1" spans="1:14" ht="27" x14ac:dyDescent="0.3">
      <c r="A1" s="11" t="s">
        <v>45</v>
      </c>
      <c r="B1" s="11" t="s">
        <v>191</v>
      </c>
      <c r="C1" s="22" t="s">
        <v>221</v>
      </c>
      <c r="D1" s="22" t="s">
        <v>222</v>
      </c>
      <c r="E1" s="22" t="s">
        <v>223</v>
      </c>
      <c r="F1" s="22"/>
      <c r="G1" s="22"/>
      <c r="H1" s="22"/>
      <c r="L1" s="3"/>
      <c r="M1" s="3"/>
    </row>
    <row r="2" spans="1:14" x14ac:dyDescent="0.3">
      <c r="A2" t="str">
        <f>Data!A3</f>
        <v xml:space="preserve">Administrative Clerk </v>
      </c>
      <c r="B2" t="str">
        <f>Data!B3</f>
        <v>Quality Assurance</v>
      </c>
      <c r="C2" s="65">
        <f>'Internal Compa-ratios'!F2</f>
        <v>0.94494480869781716</v>
      </c>
      <c r="D2" s="13">
        <f>'Benchmarking Calculations'!I162</f>
        <v>0.94494480869781716</v>
      </c>
      <c r="E2" s="13">
        <f>C2-D2</f>
        <v>0</v>
      </c>
      <c r="F2" s="66"/>
      <c r="G2" s="66"/>
      <c r="H2" s="66"/>
      <c r="N2" s="19"/>
    </row>
    <row r="3" spans="1:14" x14ac:dyDescent="0.3">
      <c r="A3" t="str">
        <f>Data!A4</f>
        <v>Receptionist</v>
      </c>
      <c r="B3" t="str">
        <f>Data!B4</f>
        <v>Ops</v>
      </c>
      <c r="C3" s="65">
        <f>'Internal Compa-ratios'!F3</f>
        <v>1.0360347035320059</v>
      </c>
      <c r="D3" s="13">
        <f>'Benchmarking Calculations'!I132</f>
        <v>1.2617922730160653</v>
      </c>
      <c r="E3" s="13">
        <f t="shared" ref="E3:E45" si="0">C3-D3</f>
        <v>-0.22575756948405945</v>
      </c>
      <c r="F3" s="66"/>
      <c r="G3" s="66"/>
      <c r="H3" s="66"/>
      <c r="N3" s="19"/>
    </row>
    <row r="4" spans="1:14" x14ac:dyDescent="0.3">
      <c r="A4" t="str">
        <f>Data!A5</f>
        <v xml:space="preserve">Administrative Clerk </v>
      </c>
      <c r="B4" t="str">
        <f>Data!B5</f>
        <v>Ops</v>
      </c>
      <c r="C4" s="65">
        <f>'Internal Compa-ratios'!F4</f>
        <v>0.8402803137189806</v>
      </c>
      <c r="D4" s="13">
        <f>'Benchmarking Calculations'!I92</f>
        <v>0.88762528010623287</v>
      </c>
      <c r="E4" s="13">
        <f t="shared" si="0"/>
        <v>-4.7344966387252274E-2</v>
      </c>
      <c r="F4" s="66"/>
      <c r="G4" s="66"/>
      <c r="H4" s="66"/>
      <c r="N4" s="19"/>
    </row>
    <row r="5" spans="1:14" x14ac:dyDescent="0.3">
      <c r="A5" t="str">
        <f>Data!A6</f>
        <v xml:space="preserve">Administrative Clerk </v>
      </c>
      <c r="B5" t="str">
        <f>Data!B6</f>
        <v>Ops</v>
      </c>
      <c r="C5" s="65">
        <f>'Internal Compa-ratios'!F5</f>
        <v>0.74476482932786348</v>
      </c>
      <c r="D5" s="13">
        <f>'Benchmarking Calculations'!I92</f>
        <v>0.88762528010623287</v>
      </c>
      <c r="E5" s="13">
        <f t="shared" si="0"/>
        <v>-0.1428604507783694</v>
      </c>
      <c r="F5" s="66"/>
      <c r="G5" s="66"/>
      <c r="H5" s="66"/>
      <c r="N5" s="19"/>
    </row>
    <row r="6" spans="1:14" x14ac:dyDescent="0.3">
      <c r="A6" t="str">
        <f>Data!A7</f>
        <v>Meetings and District Programs Coordinator</v>
      </c>
      <c r="B6" t="str">
        <f>Data!B7</f>
        <v>Continuing Education</v>
      </c>
      <c r="C6" s="65">
        <f>'Internal Compa-ratios'!F6</f>
        <v>0.89141691409736745</v>
      </c>
      <c r="D6" s="13">
        <f>'Benchmarking Calculations'!I24</f>
        <v>0.85376918703808991</v>
      </c>
      <c r="E6" s="13">
        <f t="shared" si="0"/>
        <v>3.7647727059277547E-2</v>
      </c>
      <c r="F6" s="66"/>
      <c r="G6" s="66"/>
      <c r="H6" s="66"/>
      <c r="N6" s="19"/>
    </row>
    <row r="7" spans="1:14" x14ac:dyDescent="0.3">
      <c r="A7" t="str">
        <f>Data!A8</f>
        <v>Circulation Technician &amp; Receptionist</v>
      </c>
      <c r="B7" t="str">
        <f>Data!B8</f>
        <v>Ops</v>
      </c>
      <c r="C7" s="65">
        <f>'Internal Compa-ratios'!F7</f>
        <v>0.96564625673906357</v>
      </c>
      <c r="E7" s="13"/>
      <c r="F7" s="66"/>
      <c r="G7" s="66"/>
      <c r="H7" s="66"/>
      <c r="N7" s="19"/>
    </row>
    <row r="8" spans="1:14" x14ac:dyDescent="0.3">
      <c r="A8" t="str">
        <f>Data!A9</f>
        <v>Seminar Coordinator</v>
      </c>
      <c r="B8" t="str">
        <f>Data!B9</f>
        <v>Continuing Education</v>
      </c>
      <c r="C8" s="65">
        <f>'Internal Compa-ratios'!F8</f>
        <v>0.80011045988235097</v>
      </c>
      <c r="D8" s="13">
        <f>'Benchmarking Calculations'!I17</f>
        <v>0.75494741330301307</v>
      </c>
      <c r="E8" s="13">
        <f t="shared" si="0"/>
        <v>4.5163046579337895E-2</v>
      </c>
      <c r="F8" s="66"/>
      <c r="G8" s="66"/>
      <c r="H8" s="66"/>
      <c r="N8" s="19"/>
    </row>
    <row r="9" spans="1:14" x14ac:dyDescent="0.3">
      <c r="A9" t="str">
        <f>Data!A10</f>
        <v>Seminar Coordinator</v>
      </c>
      <c r="B9" t="str">
        <f>Data!B10</f>
        <v>Continuing Education</v>
      </c>
      <c r="C9" s="65">
        <f>'Internal Compa-ratios'!F9</f>
        <v>0.77636454926397458</v>
      </c>
      <c r="D9" s="13">
        <f>'Benchmarking Calculations'!I17</f>
        <v>0.75494741330301307</v>
      </c>
      <c r="E9" s="13">
        <f t="shared" si="0"/>
        <v>2.1417135960961509E-2</v>
      </c>
      <c r="F9" s="66"/>
      <c r="G9" s="66"/>
      <c r="H9" s="66"/>
      <c r="N9" s="19"/>
    </row>
    <row r="10" spans="1:14" x14ac:dyDescent="0.3">
      <c r="A10" t="str">
        <f>Data!A11</f>
        <v>Secretary (Director Continuing Education)</v>
      </c>
      <c r="B10" t="str">
        <f>Data!B11</f>
        <v>Continuing Education</v>
      </c>
      <c r="C10" s="65">
        <f>'Internal Compa-ratios'!F10</f>
        <v>0.91198423825501629</v>
      </c>
      <c r="D10" s="13">
        <f>'Benchmarking Calculations'!I10</f>
        <v>0.91763340565554918</v>
      </c>
      <c r="E10" s="13">
        <f t="shared" si="0"/>
        <v>-5.6491674005328951E-3</v>
      </c>
      <c r="F10" s="66"/>
      <c r="G10" s="66"/>
      <c r="H10" s="66"/>
      <c r="N10" s="19"/>
    </row>
    <row r="11" spans="1:14" x14ac:dyDescent="0.3">
      <c r="A11" t="str">
        <f>Data!A12</f>
        <v>Junior Systems Administrator</v>
      </c>
      <c r="B11" t="str">
        <f>Data!B12</f>
        <v>IT</v>
      </c>
      <c r="C11" s="65">
        <f>'Internal Compa-ratios'!F11</f>
        <v>0.78378691693519209</v>
      </c>
      <c r="E11" s="13"/>
      <c r="F11" s="66"/>
      <c r="G11" s="66"/>
      <c r="H11" s="66"/>
      <c r="N11" s="19"/>
    </row>
    <row r="12" spans="1:14" x14ac:dyDescent="0.3">
      <c r="A12" t="str">
        <f>Data!A13</f>
        <v>Administrative Assistant, Exec Office</v>
      </c>
      <c r="B12" t="str">
        <f>Data!B13</f>
        <v>Exec</v>
      </c>
      <c r="C12" s="65">
        <f>'Internal Compa-ratios'!F12</f>
        <v>0.70367067352220214</v>
      </c>
      <c r="D12" s="13">
        <f>'Benchmarking Calculations'!I41</f>
        <v>0.67140641029120418</v>
      </c>
      <c r="E12" s="13">
        <f t="shared" si="0"/>
        <v>3.2264263230997958E-2</v>
      </c>
      <c r="F12" s="66"/>
      <c r="G12" s="66"/>
      <c r="H12" s="66"/>
      <c r="N12" s="19"/>
    </row>
    <row r="13" spans="1:14" x14ac:dyDescent="0.3">
      <c r="A13" t="str">
        <f>Data!A14</f>
        <v>Junior Accountant</v>
      </c>
      <c r="B13" t="str">
        <f>Data!B14</f>
        <v>Ops</v>
      </c>
      <c r="C13" s="65">
        <f>'Internal Compa-ratios'!F13</f>
        <v>0.61966382517213625</v>
      </c>
      <c r="D13" s="13">
        <f>'Benchmarking Calculations'!I109</f>
        <v>0.74365810742298188</v>
      </c>
      <c r="E13" s="13">
        <f t="shared" si="0"/>
        <v>-0.12399428225084563</v>
      </c>
      <c r="F13" s="66"/>
      <c r="G13" s="66"/>
      <c r="H13" s="66"/>
      <c r="N13" s="19"/>
    </row>
    <row r="14" spans="1:14" x14ac:dyDescent="0.3">
      <c r="A14" t="str">
        <f>Data!A15</f>
        <v>Business Research Coordinator</v>
      </c>
      <c r="B14" t="str">
        <f>Data!B15</f>
        <v>Ops</v>
      </c>
      <c r="C14" s="65">
        <f>'Internal Compa-ratios'!F14</f>
        <v>1.0954130405359312</v>
      </c>
      <c r="E14" s="13"/>
      <c r="F14" s="66"/>
      <c r="G14" s="66"/>
      <c r="H14" s="66"/>
      <c r="N14" s="19"/>
    </row>
    <row r="15" spans="1:14" x14ac:dyDescent="0.3">
      <c r="A15" t="str">
        <f>Data!A16</f>
        <v>Administrative Clerk/mailroom clerk</v>
      </c>
      <c r="B15" t="str">
        <f>Data!B16</f>
        <v>Ops</v>
      </c>
      <c r="C15" s="65">
        <f>'Internal Compa-ratios'!F15</f>
        <v>0.76355954854874419</v>
      </c>
      <c r="D15" s="13">
        <f>'Benchmarking Calculations'!I100</f>
        <v>1.0313276802796609</v>
      </c>
      <c r="E15" s="13">
        <f t="shared" si="0"/>
        <v>-0.26776813173091674</v>
      </c>
      <c r="F15" s="66"/>
      <c r="G15" s="66"/>
      <c r="H15" s="66"/>
      <c r="N15" s="19"/>
    </row>
    <row r="16" spans="1:14" x14ac:dyDescent="0.3">
      <c r="A16" t="str">
        <f>Data!A17</f>
        <v>Accountant</v>
      </c>
      <c r="B16" t="str">
        <f>Data!B17</f>
        <v>Ops</v>
      </c>
      <c r="C16" s="65">
        <f>'Internal Compa-ratios'!F16</f>
        <v>0.69411815034264923</v>
      </c>
      <c r="D16" s="13">
        <f>'Benchmarking Calculations'!I82</f>
        <v>0.7802014379997837</v>
      </c>
      <c r="E16" s="13">
        <f t="shared" si="0"/>
        <v>-8.6083287657134466E-2</v>
      </c>
      <c r="F16" s="66"/>
      <c r="G16" s="66"/>
      <c r="H16" s="66"/>
      <c r="N16" s="19"/>
    </row>
    <row r="17" spans="1:14" x14ac:dyDescent="0.3">
      <c r="A17" t="str">
        <f>Data!A18</f>
        <v>Programmer</v>
      </c>
      <c r="B17" t="str">
        <f>Data!B18</f>
        <v>IT</v>
      </c>
      <c r="C17" s="65">
        <f>'Internal Compa-ratios'!F17</f>
        <v>1.2917817895938601</v>
      </c>
      <c r="E17" s="13"/>
      <c r="F17" s="66"/>
      <c r="G17" s="66"/>
      <c r="H17" s="66"/>
      <c r="N17" s="19"/>
    </row>
    <row r="18" spans="1:14" x14ac:dyDescent="0.3">
      <c r="A18" t="str">
        <f>Data!A19</f>
        <v>Career Consultant</v>
      </c>
      <c r="B18" t="str">
        <f>Data!B19</f>
        <v>Ops</v>
      </c>
      <c r="C18" s="65">
        <f>'Internal Compa-ratios'!F18</f>
        <v>1.1482281947637851</v>
      </c>
      <c r="E18" s="13"/>
      <c r="F18" s="66"/>
      <c r="G18" s="66"/>
      <c r="H18" s="66"/>
      <c r="N18" s="19"/>
    </row>
    <row r="19" spans="1:14" x14ac:dyDescent="0.3">
      <c r="A19" t="str">
        <f>Data!A20</f>
        <v>Associate Coordinator, Professional Programs</v>
      </c>
      <c r="B19" t="str">
        <f>Data!B20</f>
        <v>Continuing Education</v>
      </c>
      <c r="C19" s="65">
        <f>'Internal Compa-ratios'!F19</f>
        <v>0.65357081991329047</v>
      </c>
      <c r="E19" s="13"/>
      <c r="F19" s="66"/>
      <c r="G19" s="66"/>
      <c r="H19" s="66"/>
      <c r="N19" s="19"/>
    </row>
    <row r="20" spans="1:14" x14ac:dyDescent="0.3">
      <c r="A20" t="str">
        <f>Data!A21</f>
        <v>Secretary (Director Operations)</v>
      </c>
      <c r="B20" t="str">
        <f>Data!B21</f>
        <v>Ops</v>
      </c>
      <c r="C20" s="65">
        <f>'Internal Compa-ratios'!F20</f>
        <v>0.82745970111157896</v>
      </c>
      <c r="D20" s="13">
        <f>'Benchmarking Calculations'!I142</f>
        <v>1.0349035183196258</v>
      </c>
      <c r="E20" s="13">
        <f t="shared" si="0"/>
        <v>-0.20744381720804683</v>
      </c>
      <c r="F20" s="66"/>
      <c r="G20" s="66"/>
      <c r="H20" s="66"/>
      <c r="N20" s="19"/>
    </row>
    <row r="21" spans="1:14" x14ac:dyDescent="0.3">
      <c r="A21" t="str">
        <f>Data!A22</f>
        <v>Business Analyst</v>
      </c>
      <c r="B21" t="str">
        <f>Data!B22</f>
        <v>Ops</v>
      </c>
      <c r="C21" s="65">
        <f>'Internal Compa-ratios'!F21</f>
        <v>1.0587767057044579</v>
      </c>
      <c r="E21" s="13"/>
      <c r="F21" s="66"/>
      <c r="G21" s="66"/>
      <c r="H21" s="66"/>
      <c r="N21" s="19"/>
    </row>
    <row r="22" spans="1:14" x14ac:dyDescent="0.3">
      <c r="A22" t="str">
        <f>Data!A23</f>
        <v>Peer Review Administrator, Audit</v>
      </c>
      <c r="B22" t="str">
        <f>Data!B23</f>
        <v>Quality Assurance</v>
      </c>
      <c r="C22" s="65">
        <f>'Internal Compa-ratios'!F22</f>
        <v>0.93596475846829652</v>
      </c>
      <c r="E22" s="13"/>
      <c r="F22" s="66"/>
      <c r="G22" s="66"/>
      <c r="H22" s="66"/>
      <c r="N22" s="19"/>
    </row>
    <row r="23" spans="1:14" x14ac:dyDescent="0.3">
      <c r="A23" t="str">
        <f>Data!A24</f>
        <v>Peer Review Administrator, Audit</v>
      </c>
      <c r="B23" t="str">
        <f>Data!B24</f>
        <v>Quality Assurance</v>
      </c>
      <c r="C23" s="65">
        <f>'Internal Compa-ratios'!F23</f>
        <v>0.90905577166233298</v>
      </c>
      <c r="E23" s="13"/>
      <c r="F23" s="66"/>
      <c r="G23" s="66"/>
      <c r="H23" s="66"/>
      <c r="N23" s="19"/>
    </row>
    <row r="24" spans="1:14" x14ac:dyDescent="0.3">
      <c r="A24" t="str">
        <f>Data!A25</f>
        <v>Peer Review Administrator, Tax</v>
      </c>
      <c r="B24" t="str">
        <f>Data!B25</f>
        <v>Quality Assurance</v>
      </c>
      <c r="C24" s="65">
        <f>'Internal Compa-ratios'!F24</f>
        <v>0.98109163075158934</v>
      </c>
      <c r="E24" s="13"/>
      <c r="F24" s="66"/>
      <c r="G24" s="66"/>
      <c r="H24" s="66"/>
      <c r="N24" s="19"/>
    </row>
    <row r="25" spans="1:14" x14ac:dyDescent="0.3">
      <c r="A25" t="str">
        <f>Data!A26</f>
        <v>Information Officer</v>
      </c>
      <c r="B25" t="str">
        <f>Data!B26</f>
        <v>Marketing</v>
      </c>
      <c r="C25" s="65">
        <f>'Internal Compa-ratios'!F25</f>
        <v>0.83166250811582065</v>
      </c>
      <c r="E25" s="13"/>
      <c r="F25" s="66"/>
      <c r="G25" s="66"/>
      <c r="H25" s="66"/>
      <c r="N25" s="19"/>
    </row>
    <row r="26" spans="1:14" x14ac:dyDescent="0.3">
      <c r="A26" t="str">
        <f>Data!A27</f>
        <v>Web Developer</v>
      </c>
      <c r="B26" t="str">
        <f>Data!B27</f>
        <v>IT</v>
      </c>
      <c r="C26" s="65">
        <f>'Internal Compa-ratios'!F26</f>
        <v>0.88838353844320284</v>
      </c>
      <c r="E26" s="13"/>
      <c r="F26" s="66"/>
      <c r="G26" s="66"/>
      <c r="H26" s="66"/>
      <c r="N26" s="19"/>
    </row>
    <row r="27" spans="1:14" x14ac:dyDescent="0.3">
      <c r="A27" t="str">
        <f>Data!A28</f>
        <v>Communications Specialist</v>
      </c>
      <c r="B27" t="str">
        <f>Data!B28</f>
        <v>Marketing</v>
      </c>
      <c r="C27" s="65">
        <f>'Internal Compa-ratios'!F27</f>
        <v>1.0094446172412257</v>
      </c>
      <c r="D27" s="13">
        <f>'Benchmarking Calculations'!I182</f>
        <v>1.1583200425305689</v>
      </c>
      <c r="E27" s="13">
        <f t="shared" si="0"/>
        <v>-0.14887542528934317</v>
      </c>
      <c r="F27" s="66"/>
      <c r="G27" s="66"/>
      <c r="H27" s="66"/>
      <c r="N27" s="19"/>
    </row>
    <row r="28" spans="1:14" x14ac:dyDescent="0.3">
      <c r="A28" t="str">
        <f>Data!A29</f>
        <v>Senior Accountant</v>
      </c>
      <c r="B28" t="str">
        <f>Data!B29</f>
        <v>Ops</v>
      </c>
      <c r="C28" s="65">
        <f>'Internal Compa-ratios'!F28</f>
        <v>0.76915945611450309</v>
      </c>
      <c r="D28" s="13">
        <f>'Benchmarking Calculations'!I152</f>
        <v>0.74665311942959012</v>
      </c>
      <c r="E28" s="13">
        <f t="shared" si="0"/>
        <v>2.2506336684912975E-2</v>
      </c>
      <c r="F28" s="66"/>
      <c r="G28" s="66"/>
      <c r="H28" s="66"/>
      <c r="N28" s="19"/>
    </row>
    <row r="29" spans="1:14" x14ac:dyDescent="0.3">
      <c r="A29" t="str">
        <f>Data!A30</f>
        <v>Coordinator, Audit and Assurance</v>
      </c>
      <c r="B29" t="str">
        <f>Data!B30</f>
        <v>Quality Assurance</v>
      </c>
      <c r="C29" s="65">
        <f>'Internal Compa-ratios'!F29</f>
        <v>0.94663939496280403</v>
      </c>
      <c r="D29" s="13">
        <f>'Benchmarking Calculations'!I169</f>
        <v>0.91829941359089351</v>
      </c>
      <c r="E29" s="13">
        <f t="shared" si="0"/>
        <v>2.8339981371910516E-2</v>
      </c>
      <c r="F29" s="66"/>
      <c r="G29" s="66"/>
      <c r="H29" s="66"/>
      <c r="N29" s="19"/>
    </row>
    <row r="30" spans="1:14" x14ac:dyDescent="0.3">
      <c r="A30" t="str">
        <f>Data!A31</f>
        <v>Marketing Coordinator</v>
      </c>
      <c r="B30" t="str">
        <f>Data!B31</f>
        <v>Marketing</v>
      </c>
      <c r="C30" s="65">
        <f>'Internal Compa-ratios'!F30</f>
        <v>0.69256491910065388</v>
      </c>
      <c r="D30" s="13">
        <f>'Benchmarking Calculations'!I72</f>
        <v>0.99008693956028626</v>
      </c>
      <c r="E30" s="13">
        <f t="shared" si="0"/>
        <v>-0.29752202045963239</v>
      </c>
      <c r="F30" s="66"/>
      <c r="G30" s="66"/>
      <c r="H30" s="66"/>
      <c r="N30" s="19"/>
    </row>
    <row r="31" spans="1:14" x14ac:dyDescent="0.3">
      <c r="A31" t="str">
        <f>Data!A32</f>
        <v>Coordinator, Professional Programs</v>
      </c>
      <c r="B31" t="str">
        <f>Data!B32</f>
        <v>Continuing Education</v>
      </c>
      <c r="C31" s="65">
        <f>'Internal Compa-ratios'!F31</f>
        <v>0.69856718132471662</v>
      </c>
      <c r="E31" s="13"/>
      <c r="F31" s="66"/>
      <c r="G31" s="66"/>
      <c r="H31" s="66"/>
      <c r="N31" s="19"/>
    </row>
    <row r="32" spans="1:14" x14ac:dyDescent="0.3">
      <c r="A32" t="str">
        <f>Data!A33</f>
        <v>Manager Conferences and Event Planning</v>
      </c>
      <c r="B32" t="str">
        <f>Data!B33</f>
        <v>Continuing Education</v>
      </c>
      <c r="C32" s="65">
        <f>'Internal Compa-ratios'!F32</f>
        <v>0.95061609946868608</v>
      </c>
      <c r="D32" s="13">
        <f>'Benchmarking Calculations'!I31</f>
        <v>1.0364307692307695</v>
      </c>
      <c r="E32" s="13">
        <f t="shared" si="0"/>
        <v>-8.5814669762083406E-2</v>
      </c>
      <c r="F32" s="66"/>
      <c r="G32" s="66"/>
      <c r="H32" s="66"/>
      <c r="N32" s="19"/>
    </row>
    <row r="33" spans="1:14" x14ac:dyDescent="0.3">
      <c r="A33" t="str">
        <f>Data!A34</f>
        <v>Manager, Workforce Recruitment</v>
      </c>
      <c r="B33" t="str">
        <f>Data!B34</f>
        <v>Marketing</v>
      </c>
      <c r="C33" s="65">
        <f>'Internal Compa-ratios'!F33</f>
        <v>1.1040211469418262</v>
      </c>
      <c r="E33" s="13"/>
      <c r="F33" s="66"/>
      <c r="G33" s="66"/>
      <c r="H33" s="66"/>
      <c r="N33" s="19"/>
    </row>
    <row r="34" spans="1:14" x14ac:dyDescent="0.3">
      <c r="A34" t="str">
        <f>Data!A35</f>
        <v>Manager, Education Outreach</v>
      </c>
      <c r="B34" t="str">
        <f>Data!B35</f>
        <v>Marketing</v>
      </c>
      <c r="C34" s="65">
        <f>'Internal Compa-ratios'!F34</f>
        <v>1.0700291802927726</v>
      </c>
      <c r="E34" s="13"/>
      <c r="F34" s="66"/>
      <c r="G34" s="66"/>
      <c r="H34" s="66"/>
      <c r="N34" s="19"/>
    </row>
    <row r="35" spans="1:14" x14ac:dyDescent="0.3">
      <c r="A35" t="str">
        <f>Data!A36</f>
        <v>Manager Finance and Administration</v>
      </c>
      <c r="B35" t="str">
        <f>Data!B36</f>
        <v>Ops</v>
      </c>
      <c r="C35" s="65">
        <f>'Internal Compa-ratios'!F35</f>
        <v>0.91838892302923081</v>
      </c>
      <c r="D35" s="13">
        <f>'Benchmarking Calculations'!I122</f>
        <v>0.81882409498559827</v>
      </c>
      <c r="E35" s="13">
        <f t="shared" si="0"/>
        <v>9.9564828043632536E-2</v>
      </c>
      <c r="F35" s="66"/>
      <c r="G35" s="66"/>
      <c r="H35" s="66"/>
      <c r="N35" s="19"/>
    </row>
    <row r="36" spans="1:14" x14ac:dyDescent="0.3">
      <c r="A36" t="str">
        <f>Data!A37</f>
        <v>Manager, Executive Office</v>
      </c>
      <c r="B36" t="str">
        <f>Data!B37</f>
        <v>Exec</v>
      </c>
      <c r="C36" s="65">
        <f>'Internal Compa-ratios'!F36</f>
        <v>0.82120578559158963</v>
      </c>
      <c r="E36" s="13"/>
      <c r="F36" s="66"/>
      <c r="G36" s="66"/>
      <c r="H36" s="66"/>
      <c r="N36" s="19"/>
    </row>
    <row r="37" spans="1:14" x14ac:dyDescent="0.3">
      <c r="A37" t="str">
        <f>Data!A38</f>
        <v>Manager, Audit and Assurance</v>
      </c>
      <c r="B37" t="str">
        <f>Data!B38</f>
        <v>Quality Assurance</v>
      </c>
      <c r="C37" s="65">
        <f>'Internal Compa-ratios'!F37</f>
        <v>0.97321136931643049</v>
      </c>
      <c r="E37" s="13"/>
      <c r="F37" s="66"/>
      <c r="G37" s="66"/>
      <c r="H37" s="66"/>
      <c r="N37" s="19"/>
    </row>
    <row r="38" spans="1:14" x14ac:dyDescent="0.3">
      <c r="A38" t="str">
        <f>Data!A39</f>
        <v>Manager, Tax Quality</v>
      </c>
      <c r="B38" t="str">
        <f>Data!B39</f>
        <v>Quality Assurance</v>
      </c>
      <c r="C38" s="65">
        <f>'Internal Compa-ratios'!F38</f>
        <v>0.80165681162803171</v>
      </c>
      <c r="E38" s="13"/>
      <c r="F38" s="66"/>
      <c r="G38" s="66"/>
      <c r="H38" s="66"/>
      <c r="N38" s="19"/>
    </row>
    <row r="39" spans="1:14" x14ac:dyDescent="0.3">
      <c r="A39" t="str">
        <f>Data!A40</f>
        <v>Manager, Member Services Centre</v>
      </c>
      <c r="B39" t="str">
        <f>Data!B40</f>
        <v>Ops</v>
      </c>
      <c r="C39" s="65">
        <f>'Internal Compa-ratios'!F39</f>
        <v>1.0896921040459835</v>
      </c>
      <c r="E39" s="13"/>
      <c r="F39" s="66"/>
      <c r="G39" s="66"/>
      <c r="H39" s="66"/>
      <c r="N39" s="19"/>
    </row>
    <row r="40" spans="1:14" x14ac:dyDescent="0.3">
      <c r="A40" t="str">
        <f>Data!A41</f>
        <v>Director, IT</v>
      </c>
      <c r="B40" t="str">
        <f>Data!B41</f>
        <v>IT</v>
      </c>
      <c r="C40" s="65">
        <f>'Internal Compa-ratios'!F40</f>
        <v>1.1679109043805471</v>
      </c>
      <c r="D40" s="13">
        <f>'Benchmarking Calculations'!I49</f>
        <v>0.67951641562007825</v>
      </c>
      <c r="E40" s="13">
        <f t="shared" si="0"/>
        <v>0.48839448876046887</v>
      </c>
      <c r="F40" s="66"/>
      <c r="G40" s="66"/>
      <c r="H40" s="66"/>
      <c r="N40" s="19"/>
    </row>
    <row r="41" spans="1:14" x14ac:dyDescent="0.3">
      <c r="A41" t="str">
        <f>Data!A42</f>
        <v>Director, Continuing Education</v>
      </c>
      <c r="B41" t="str">
        <f>Data!B42</f>
        <v>Continuing Education</v>
      </c>
      <c r="C41" s="65">
        <f>'Internal Compa-ratios'!F41</f>
        <v>0.96038486033038206</v>
      </c>
      <c r="E41" s="13"/>
      <c r="F41" s="66"/>
      <c r="G41" s="66"/>
      <c r="H41" s="66"/>
      <c r="N41" s="19"/>
    </row>
    <row r="42" spans="1:14" x14ac:dyDescent="0.3">
      <c r="A42" t="str">
        <f>Data!A43</f>
        <v>Director, Quality Assurance</v>
      </c>
      <c r="B42" t="str">
        <f>Data!B43</f>
        <v>Quality Assurance</v>
      </c>
      <c r="C42" s="65">
        <f>'Internal Compa-ratios'!F42</f>
        <v>1.1382730047541278</v>
      </c>
      <c r="E42" s="13"/>
      <c r="F42" s="66"/>
      <c r="G42" s="66"/>
      <c r="H42" s="66"/>
      <c r="N42" s="19"/>
    </row>
    <row r="43" spans="1:14" x14ac:dyDescent="0.3">
      <c r="A43" t="str">
        <f>Data!A44</f>
        <v>Director, Marketing and Communications</v>
      </c>
      <c r="B43" t="str">
        <f>Data!B44</f>
        <v>Marketing</v>
      </c>
      <c r="C43" s="65">
        <f>'Internal Compa-ratios'!F43</f>
        <v>1.1807857119446876</v>
      </c>
      <c r="D43" s="13">
        <f>'Benchmarking Calculations'!I64</f>
        <v>0.66584865927277825</v>
      </c>
      <c r="E43" s="13">
        <f t="shared" si="0"/>
        <v>0.51493705267190937</v>
      </c>
      <c r="F43" s="66"/>
      <c r="G43" s="66"/>
      <c r="H43" s="66"/>
      <c r="N43" s="19"/>
    </row>
    <row r="44" spans="1:14" x14ac:dyDescent="0.3">
      <c r="A44" t="str">
        <f>Data!A45</f>
        <v>Director, Operations</v>
      </c>
      <c r="B44" t="str">
        <f>Data!B45</f>
        <v>Ops</v>
      </c>
      <c r="C44" s="65">
        <f>'Internal Compa-ratios'!F44</f>
        <v>1.2641978542328416</v>
      </c>
      <c r="E44" s="13"/>
      <c r="F44" s="66"/>
      <c r="G44" s="66"/>
      <c r="H44" s="66"/>
      <c r="N44" s="19"/>
    </row>
    <row r="45" spans="1:14" x14ac:dyDescent="0.3">
      <c r="A45" t="str">
        <f>Data!A46</f>
        <v>Executive Director</v>
      </c>
      <c r="B45" t="str">
        <f>Data!B46</f>
        <v>Exec</v>
      </c>
      <c r="C45" s="65">
        <f>'Internal Compa-ratios'!F45</f>
        <v>1.4861414026982576</v>
      </c>
      <c r="D45" s="13">
        <f>'Benchmarking Calculations'!I57</f>
        <v>0.64602248855536526</v>
      </c>
      <c r="E45" s="13">
        <f t="shared" si="0"/>
        <v>0.8401189141428923</v>
      </c>
      <c r="F45" s="66"/>
      <c r="G45" s="66"/>
      <c r="H45" s="66"/>
      <c r="N45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492B-2FC6-425A-98A4-94D0EB7CFA45}">
  <dimension ref="A1:O15"/>
  <sheetViews>
    <sheetView workbookViewId="0">
      <selection activeCell="C18" sqref="C18"/>
    </sheetView>
  </sheetViews>
  <sheetFormatPr defaultRowHeight="13.5" x14ac:dyDescent="0.3"/>
  <cols>
    <col min="6" max="6" width="14.4609375" customWidth="1"/>
    <col min="7" max="7" width="12.4609375" customWidth="1"/>
    <col min="8" max="8" width="18" customWidth="1"/>
    <col min="9" max="9" width="14.3046875" customWidth="1"/>
  </cols>
  <sheetData>
    <row r="1" spans="1:15" x14ac:dyDescent="0.3">
      <c r="A1" s="3" t="s">
        <v>119</v>
      </c>
      <c r="B1" s="3" t="s">
        <v>124</v>
      </c>
      <c r="C1" s="3" t="s">
        <v>120</v>
      </c>
      <c r="D1" s="3" t="s">
        <v>121</v>
      </c>
      <c r="E1" s="3" t="s">
        <v>129</v>
      </c>
      <c r="F1" s="3" t="s">
        <v>130</v>
      </c>
      <c r="G1" s="3" t="s">
        <v>131</v>
      </c>
      <c r="H1" s="3" t="s">
        <v>122</v>
      </c>
      <c r="I1" s="3" t="s">
        <v>123</v>
      </c>
      <c r="O1" s="3"/>
    </row>
    <row r="2" spans="1:15" x14ac:dyDescent="0.3">
      <c r="A2">
        <v>1</v>
      </c>
      <c r="B2" s="19">
        <f>'Pay Structure'!B2</f>
        <v>24942.197452229302</v>
      </c>
      <c r="C2" s="19">
        <f>'Pay Structure'!C2</f>
        <v>38372.611464968155</v>
      </c>
      <c r="D2" s="19">
        <f>'Pay Structure'!D2</f>
        <v>51803.025477707015</v>
      </c>
      <c r="E2">
        <f>COUNTIF(Data!X:X, A2)</f>
        <v>1</v>
      </c>
      <c r="F2" s="19">
        <f>C2*E2</f>
        <v>38372.611464968155</v>
      </c>
      <c r="G2" s="19">
        <f>D2*E2</f>
        <v>51803.025477707015</v>
      </c>
      <c r="I2" s="28">
        <f>'Pay Structure'!G2</f>
        <v>0.35</v>
      </c>
    </row>
    <row r="3" spans="1:15" x14ac:dyDescent="0.3">
      <c r="A3">
        <v>2</v>
      </c>
      <c r="B3" s="19">
        <f>'Pay Structure'!B3</f>
        <v>27935.261146496821</v>
      </c>
      <c r="C3" s="19">
        <f>'Pay Structure'!C3</f>
        <v>42977.32484076434</v>
      </c>
      <c r="D3" s="19">
        <f>'Pay Structure'!D3</f>
        <v>58019.388535031867</v>
      </c>
      <c r="E3">
        <f>COUNTIF(Data!X:X, A3)</f>
        <v>3</v>
      </c>
      <c r="F3" s="19">
        <f t="shared" ref="F3:F12" si="0">C3*E3</f>
        <v>128931.97452229302</v>
      </c>
      <c r="G3" s="19">
        <f t="shared" ref="G3:G12" si="1">D3*E3</f>
        <v>174058.16560509559</v>
      </c>
      <c r="H3" s="28">
        <f>'Pay Structure'!F3</f>
        <v>0.12</v>
      </c>
      <c r="I3" s="28">
        <f>'Pay Structure'!G3</f>
        <v>0.35</v>
      </c>
    </row>
    <row r="4" spans="1:15" x14ac:dyDescent="0.3">
      <c r="A4">
        <v>3</v>
      </c>
      <c r="B4" s="19">
        <f>'Pay Structure'!B4</f>
        <v>31287.492484076443</v>
      </c>
      <c r="C4" s="19">
        <f>'Pay Structure'!C4</f>
        <v>48134.603821656063</v>
      </c>
      <c r="D4" s="19">
        <f>'Pay Structure'!D4</f>
        <v>64981.715159235689</v>
      </c>
      <c r="E4">
        <f>COUNTIF(Data!X:X, A4)</f>
        <v>5</v>
      </c>
      <c r="F4" s="19">
        <f t="shared" si="0"/>
        <v>240673.01910828031</v>
      </c>
      <c r="G4" s="19">
        <f t="shared" si="1"/>
        <v>324908.57579617843</v>
      </c>
      <c r="H4" s="28">
        <f>'Pay Structure'!F4</f>
        <v>0.12</v>
      </c>
      <c r="I4" s="28">
        <f>'Pay Structure'!G4</f>
        <v>0.35</v>
      </c>
    </row>
    <row r="5" spans="1:15" x14ac:dyDescent="0.3">
      <c r="A5">
        <v>4</v>
      </c>
      <c r="B5" s="19">
        <f>'Pay Structure'!B5</f>
        <v>34416.241732484094</v>
      </c>
      <c r="C5" s="19">
        <f>'Pay Structure'!C5</f>
        <v>52948.064203821676</v>
      </c>
      <c r="D5" s="19">
        <f>'Pay Structure'!D5</f>
        <v>71479.886675159272</v>
      </c>
      <c r="E5">
        <f>COUNTIF(Data!X:X, A5)</f>
        <v>5</v>
      </c>
      <c r="F5" s="19">
        <f t="shared" si="0"/>
        <v>264740.32101910841</v>
      </c>
      <c r="G5" s="19">
        <f t="shared" si="1"/>
        <v>357399.43337579636</v>
      </c>
      <c r="H5" s="28">
        <f>'Pay Structure'!F5</f>
        <v>0.1</v>
      </c>
      <c r="I5" s="28">
        <f>'Pay Structure'!G5</f>
        <v>0.35</v>
      </c>
    </row>
    <row r="6" spans="1:15" x14ac:dyDescent="0.3">
      <c r="A6">
        <v>5</v>
      </c>
      <c r="B6" s="19">
        <f>'Pay Structure'!B6</f>
        <v>38890.353157707017</v>
      </c>
      <c r="C6" s="19">
        <f>'Pay Structure'!C6</f>
        <v>59831.312550318486</v>
      </c>
      <c r="D6" s="19">
        <f>'Pay Structure'!D6</f>
        <v>80772.271942929961</v>
      </c>
      <c r="E6">
        <f>COUNTIF(Data!X:X, A6)</f>
        <v>9</v>
      </c>
      <c r="F6" s="19">
        <f t="shared" si="0"/>
        <v>538481.81295286631</v>
      </c>
      <c r="G6" s="19">
        <f t="shared" si="1"/>
        <v>726950.44748636964</v>
      </c>
      <c r="H6" s="28">
        <f>'Pay Structure'!F6</f>
        <v>0.13</v>
      </c>
      <c r="I6" s="28">
        <f>'Pay Structure'!G6</f>
        <v>0.35</v>
      </c>
    </row>
    <row r="7" spans="1:15" x14ac:dyDescent="0.3">
      <c r="A7">
        <v>6</v>
      </c>
      <c r="B7" s="19">
        <f>'Pay Structure'!B7</f>
        <v>43168.292005054798</v>
      </c>
      <c r="C7" s="19">
        <f>'Pay Structure'!C7</f>
        <v>66412.756930853531</v>
      </c>
      <c r="D7" s="19">
        <f>'Pay Structure'!D7</f>
        <v>89657.221856652279</v>
      </c>
      <c r="E7">
        <f>COUNTIF(Data!X:X, A7)</f>
        <v>4</v>
      </c>
      <c r="F7" s="19">
        <f t="shared" si="0"/>
        <v>265651.02772341412</v>
      </c>
      <c r="G7" s="19">
        <f t="shared" si="1"/>
        <v>358628.88742660912</v>
      </c>
      <c r="H7" s="28">
        <f>'Pay Structure'!F7</f>
        <v>0.11</v>
      </c>
      <c r="I7" s="28">
        <f>'Pay Structure'!G7</f>
        <v>0.35</v>
      </c>
    </row>
    <row r="8" spans="1:15" x14ac:dyDescent="0.3">
      <c r="A8">
        <v>7</v>
      </c>
      <c r="B8" s="19">
        <f>'Pay Structure'!B8</f>
        <v>44463.340765206434</v>
      </c>
      <c r="C8" s="19">
        <f>'Pay Structure'!C8</f>
        <v>68405.139638779132</v>
      </c>
      <c r="D8" s="19">
        <f>'Pay Structure'!D8</f>
        <v>92346.93851235183</v>
      </c>
      <c r="E8">
        <f>COUNTIF(Data!X:X, A8)</f>
        <v>2</v>
      </c>
      <c r="F8" s="19">
        <f t="shared" si="0"/>
        <v>136810.27927755826</v>
      </c>
      <c r="G8" s="19">
        <f t="shared" si="1"/>
        <v>184693.87702470366</v>
      </c>
      <c r="H8" s="28">
        <f>'Pay Structure'!F8</f>
        <v>0.03</v>
      </c>
      <c r="I8" s="28">
        <f>'Pay Structure'!G8</f>
        <v>0.35</v>
      </c>
    </row>
    <row r="9" spans="1:15" x14ac:dyDescent="0.3">
      <c r="A9">
        <v>8</v>
      </c>
      <c r="B9" s="19">
        <f>'Pay Structure'!B9</f>
        <v>49354.308249379152</v>
      </c>
      <c r="C9" s="19">
        <f>'Pay Structure'!C9</f>
        <v>75929.704999044843</v>
      </c>
      <c r="D9" s="19">
        <f>'Pay Structure'!D9</f>
        <v>102505.10174871054</v>
      </c>
      <c r="E9">
        <f>COUNTIF(Data!X:X, A9)</f>
        <v>5</v>
      </c>
      <c r="F9" s="19">
        <f t="shared" si="0"/>
        <v>379648.5249952242</v>
      </c>
      <c r="G9" s="19">
        <f t="shared" si="1"/>
        <v>512525.50874355272</v>
      </c>
      <c r="H9" s="28">
        <f>'Pay Structure'!F9</f>
        <v>0.11</v>
      </c>
      <c r="I9" s="28">
        <f>'Pay Structure'!G9</f>
        <v>0.35</v>
      </c>
    </row>
    <row r="10" spans="1:15" x14ac:dyDescent="0.3">
      <c r="A10">
        <v>9</v>
      </c>
      <c r="B10" s="19">
        <f>'Pay Structure'!B10</f>
        <v>56757.454486786017</v>
      </c>
      <c r="C10" s="19">
        <f>'Pay Structure'!C10</f>
        <v>87319.160748901559</v>
      </c>
      <c r="D10" s="19">
        <f>'Pay Structure'!D10</f>
        <v>117880.86701101711</v>
      </c>
      <c r="E10">
        <f>COUNTIF(Data!X:X, A10)</f>
        <v>6</v>
      </c>
      <c r="F10" s="19">
        <f t="shared" si="0"/>
        <v>523914.96449340938</v>
      </c>
      <c r="G10" s="19">
        <f t="shared" si="1"/>
        <v>707285.20206610265</v>
      </c>
      <c r="H10" s="28">
        <f>'Pay Structure'!F10</f>
        <v>0.15</v>
      </c>
      <c r="I10" s="28">
        <f>'Pay Structure'!G10</f>
        <v>0.35</v>
      </c>
    </row>
    <row r="11" spans="1:15" x14ac:dyDescent="0.3">
      <c r="A11">
        <v>10</v>
      </c>
      <c r="B11" s="19">
        <f>'Pay Structure'!B11</f>
        <v>65271.072659803911</v>
      </c>
      <c r="C11" s="19">
        <f>'Pay Structure'!C11</f>
        <v>100417.03486123678</v>
      </c>
      <c r="D11" s="19">
        <f>'Pay Structure'!D11</f>
        <v>135562.99706266966</v>
      </c>
      <c r="E11">
        <f>COUNTIF(Data!X:X, A11)</f>
        <v>3</v>
      </c>
      <c r="F11" s="19">
        <f t="shared" si="0"/>
        <v>301251.10458371032</v>
      </c>
      <c r="G11" s="19">
        <f t="shared" si="1"/>
        <v>406688.99118800898</v>
      </c>
      <c r="H11" s="28">
        <f>'Pay Structure'!F11</f>
        <v>0.15</v>
      </c>
      <c r="I11" s="28">
        <f>'Pay Structure'!G11</f>
        <v>0.35</v>
      </c>
    </row>
    <row r="12" spans="1:15" x14ac:dyDescent="0.3">
      <c r="A12">
        <v>11</v>
      </c>
      <c r="B12" s="19">
        <f>'Pay Structure'!B12</f>
        <v>57739.795045211147</v>
      </c>
      <c r="C12" s="19">
        <f>'Pay Structure'!C12</f>
        <v>115479.59009042229</v>
      </c>
      <c r="D12" s="19">
        <f>'Pay Structure'!D12</f>
        <v>173219.38513563343</v>
      </c>
      <c r="E12">
        <f>COUNTIF(Data!X:X, A12)</f>
        <v>1</v>
      </c>
      <c r="F12" s="19">
        <f t="shared" si="0"/>
        <v>115479.59009042229</v>
      </c>
      <c r="G12" s="19">
        <f t="shared" si="1"/>
        <v>173219.38513563343</v>
      </c>
      <c r="H12" s="28">
        <f>'Pay Structure'!F12</f>
        <v>0.15</v>
      </c>
      <c r="I12" s="28">
        <f>'Pay Structure'!G12</f>
        <v>0.5</v>
      </c>
    </row>
    <row r="14" spans="1:15" x14ac:dyDescent="0.3">
      <c r="D14" s="3" t="s">
        <v>132</v>
      </c>
      <c r="E14">
        <f>SUM(E2:E12)</f>
        <v>44</v>
      </c>
      <c r="F14" s="19">
        <f>SUM(F2:F12)</f>
        <v>2933955.2302312548</v>
      </c>
      <c r="G14" s="19">
        <f>SUM(G2:G12)</f>
        <v>3978161.4993257574</v>
      </c>
    </row>
    <row r="15" spans="1:15" x14ac:dyDescent="0.3">
      <c r="F15" s="3" t="s">
        <v>133</v>
      </c>
      <c r="G15" t="b">
        <f>G14&lt;=4000000</f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CBC9-F4A6-4B5E-84E0-D7C2FC1AEA53}">
  <sheetPr>
    <pageSetUpPr fitToPage="1"/>
  </sheetPr>
  <dimension ref="A1:Y45"/>
  <sheetViews>
    <sheetView tabSelected="1" topLeftCell="D1" workbookViewId="0">
      <selection activeCell="Q6" sqref="Q6"/>
    </sheetView>
  </sheetViews>
  <sheetFormatPr defaultColWidth="7.4609375" defaultRowHeight="14.5" x14ac:dyDescent="0.35"/>
  <cols>
    <col min="1" max="1" width="41.3046875" style="46" customWidth="1"/>
    <col min="2" max="2" width="19.15234375" style="46" customWidth="1"/>
    <col min="3" max="3" width="7.4609375" style="46"/>
    <col min="4" max="5" width="10.3046875" style="46" customWidth="1"/>
    <col min="6" max="6" width="7.4609375" style="46"/>
    <col min="7" max="7" width="9.69140625" style="46" customWidth="1"/>
    <col min="8" max="8" width="11.15234375" style="46" customWidth="1"/>
    <col min="9" max="14" width="9.69140625" style="46" customWidth="1"/>
    <col min="15" max="15" width="25.3828125" style="50" customWidth="1"/>
    <col min="16" max="25" width="9.69140625" style="46" customWidth="1"/>
    <col min="26" max="279" width="7.4609375" style="46"/>
    <col min="280" max="280" width="30.4609375" style="46" customWidth="1"/>
    <col min="281" max="281" width="14.23046875" style="46" customWidth="1"/>
    <col min="282" max="282" width="10.3046875" style="46" customWidth="1"/>
    <col min="283" max="283" width="11.15234375" style="46" customWidth="1"/>
    <col min="284" max="535" width="7.4609375" style="46"/>
    <col min="536" max="536" width="30.4609375" style="46" customWidth="1"/>
    <col min="537" max="537" width="14.23046875" style="46" customWidth="1"/>
    <col min="538" max="538" width="10.3046875" style="46" customWidth="1"/>
    <col min="539" max="539" width="11.15234375" style="46" customWidth="1"/>
    <col min="540" max="791" width="7.4609375" style="46"/>
    <col min="792" max="792" width="30.4609375" style="46" customWidth="1"/>
    <col min="793" max="793" width="14.23046875" style="46" customWidth="1"/>
    <col min="794" max="794" width="10.3046875" style="46" customWidth="1"/>
    <col min="795" max="795" width="11.15234375" style="46" customWidth="1"/>
    <col min="796" max="1047" width="7.4609375" style="46"/>
    <col min="1048" max="1048" width="30.4609375" style="46" customWidth="1"/>
    <col min="1049" max="1049" width="14.23046875" style="46" customWidth="1"/>
    <col min="1050" max="1050" width="10.3046875" style="46" customWidth="1"/>
    <col min="1051" max="1051" width="11.15234375" style="46" customWidth="1"/>
    <col min="1052" max="1303" width="7.4609375" style="46"/>
    <col min="1304" max="1304" width="30.4609375" style="46" customWidth="1"/>
    <col min="1305" max="1305" width="14.23046875" style="46" customWidth="1"/>
    <col min="1306" max="1306" width="10.3046875" style="46" customWidth="1"/>
    <col min="1307" max="1307" width="11.15234375" style="46" customWidth="1"/>
    <col min="1308" max="1559" width="7.4609375" style="46"/>
    <col min="1560" max="1560" width="30.4609375" style="46" customWidth="1"/>
    <col min="1561" max="1561" width="14.23046875" style="46" customWidth="1"/>
    <col min="1562" max="1562" width="10.3046875" style="46" customWidth="1"/>
    <col min="1563" max="1563" width="11.15234375" style="46" customWidth="1"/>
    <col min="1564" max="1815" width="7.4609375" style="46"/>
    <col min="1816" max="1816" width="30.4609375" style="46" customWidth="1"/>
    <col min="1817" max="1817" width="14.23046875" style="46" customWidth="1"/>
    <col min="1818" max="1818" width="10.3046875" style="46" customWidth="1"/>
    <col min="1819" max="1819" width="11.15234375" style="46" customWidth="1"/>
    <col min="1820" max="2071" width="7.4609375" style="46"/>
    <col min="2072" max="2072" width="30.4609375" style="46" customWidth="1"/>
    <col min="2073" max="2073" width="14.23046875" style="46" customWidth="1"/>
    <col min="2074" max="2074" width="10.3046875" style="46" customWidth="1"/>
    <col min="2075" max="2075" width="11.15234375" style="46" customWidth="1"/>
    <col min="2076" max="2327" width="7.4609375" style="46"/>
    <col min="2328" max="2328" width="30.4609375" style="46" customWidth="1"/>
    <col min="2329" max="2329" width="14.23046875" style="46" customWidth="1"/>
    <col min="2330" max="2330" width="10.3046875" style="46" customWidth="1"/>
    <col min="2331" max="2331" width="11.15234375" style="46" customWidth="1"/>
    <col min="2332" max="2583" width="7.4609375" style="46"/>
    <col min="2584" max="2584" width="30.4609375" style="46" customWidth="1"/>
    <col min="2585" max="2585" width="14.23046875" style="46" customWidth="1"/>
    <col min="2586" max="2586" width="10.3046875" style="46" customWidth="1"/>
    <col min="2587" max="2587" width="11.15234375" style="46" customWidth="1"/>
    <col min="2588" max="2839" width="7.4609375" style="46"/>
    <col min="2840" max="2840" width="30.4609375" style="46" customWidth="1"/>
    <col min="2841" max="2841" width="14.23046875" style="46" customWidth="1"/>
    <col min="2842" max="2842" width="10.3046875" style="46" customWidth="1"/>
    <col min="2843" max="2843" width="11.15234375" style="46" customWidth="1"/>
    <col min="2844" max="3095" width="7.4609375" style="46"/>
    <col min="3096" max="3096" width="30.4609375" style="46" customWidth="1"/>
    <col min="3097" max="3097" width="14.23046875" style="46" customWidth="1"/>
    <col min="3098" max="3098" width="10.3046875" style="46" customWidth="1"/>
    <col min="3099" max="3099" width="11.15234375" style="46" customWidth="1"/>
    <col min="3100" max="3351" width="7.4609375" style="46"/>
    <col min="3352" max="3352" width="30.4609375" style="46" customWidth="1"/>
    <col min="3353" max="3353" width="14.23046875" style="46" customWidth="1"/>
    <col min="3354" max="3354" width="10.3046875" style="46" customWidth="1"/>
    <col min="3355" max="3355" width="11.15234375" style="46" customWidth="1"/>
    <col min="3356" max="3607" width="7.4609375" style="46"/>
    <col min="3608" max="3608" width="30.4609375" style="46" customWidth="1"/>
    <col min="3609" max="3609" width="14.23046875" style="46" customWidth="1"/>
    <col min="3610" max="3610" width="10.3046875" style="46" customWidth="1"/>
    <col min="3611" max="3611" width="11.15234375" style="46" customWidth="1"/>
    <col min="3612" max="3863" width="7.4609375" style="46"/>
    <col min="3864" max="3864" width="30.4609375" style="46" customWidth="1"/>
    <col min="3865" max="3865" width="14.23046875" style="46" customWidth="1"/>
    <col min="3866" max="3866" width="10.3046875" style="46" customWidth="1"/>
    <col min="3867" max="3867" width="11.15234375" style="46" customWidth="1"/>
    <col min="3868" max="4119" width="7.4609375" style="46"/>
    <col min="4120" max="4120" width="30.4609375" style="46" customWidth="1"/>
    <col min="4121" max="4121" width="14.23046875" style="46" customWidth="1"/>
    <col min="4122" max="4122" width="10.3046875" style="46" customWidth="1"/>
    <col min="4123" max="4123" width="11.15234375" style="46" customWidth="1"/>
    <col min="4124" max="4375" width="7.4609375" style="46"/>
    <col min="4376" max="4376" width="30.4609375" style="46" customWidth="1"/>
    <col min="4377" max="4377" width="14.23046875" style="46" customWidth="1"/>
    <col min="4378" max="4378" width="10.3046875" style="46" customWidth="1"/>
    <col min="4379" max="4379" width="11.15234375" style="46" customWidth="1"/>
    <col min="4380" max="4631" width="7.4609375" style="46"/>
    <col min="4632" max="4632" width="30.4609375" style="46" customWidth="1"/>
    <col min="4633" max="4633" width="14.23046875" style="46" customWidth="1"/>
    <col min="4634" max="4634" width="10.3046875" style="46" customWidth="1"/>
    <col min="4635" max="4635" width="11.15234375" style="46" customWidth="1"/>
    <col min="4636" max="4887" width="7.4609375" style="46"/>
    <col min="4888" max="4888" width="30.4609375" style="46" customWidth="1"/>
    <col min="4889" max="4889" width="14.23046875" style="46" customWidth="1"/>
    <col min="4890" max="4890" width="10.3046875" style="46" customWidth="1"/>
    <col min="4891" max="4891" width="11.15234375" style="46" customWidth="1"/>
    <col min="4892" max="5143" width="7.4609375" style="46"/>
    <col min="5144" max="5144" width="30.4609375" style="46" customWidth="1"/>
    <col min="5145" max="5145" width="14.23046875" style="46" customWidth="1"/>
    <col min="5146" max="5146" width="10.3046875" style="46" customWidth="1"/>
    <col min="5147" max="5147" width="11.15234375" style="46" customWidth="1"/>
    <col min="5148" max="5399" width="7.4609375" style="46"/>
    <col min="5400" max="5400" width="30.4609375" style="46" customWidth="1"/>
    <col min="5401" max="5401" width="14.23046875" style="46" customWidth="1"/>
    <col min="5402" max="5402" width="10.3046875" style="46" customWidth="1"/>
    <col min="5403" max="5403" width="11.15234375" style="46" customWidth="1"/>
    <col min="5404" max="5655" width="7.4609375" style="46"/>
    <col min="5656" max="5656" width="30.4609375" style="46" customWidth="1"/>
    <col min="5657" max="5657" width="14.23046875" style="46" customWidth="1"/>
    <col min="5658" max="5658" width="10.3046875" style="46" customWidth="1"/>
    <col min="5659" max="5659" width="11.15234375" style="46" customWidth="1"/>
    <col min="5660" max="5911" width="7.4609375" style="46"/>
    <col min="5912" max="5912" width="30.4609375" style="46" customWidth="1"/>
    <col min="5913" max="5913" width="14.23046875" style="46" customWidth="1"/>
    <col min="5914" max="5914" width="10.3046875" style="46" customWidth="1"/>
    <col min="5915" max="5915" width="11.15234375" style="46" customWidth="1"/>
    <col min="5916" max="6167" width="7.4609375" style="46"/>
    <col min="6168" max="6168" width="30.4609375" style="46" customWidth="1"/>
    <col min="6169" max="6169" width="14.23046875" style="46" customWidth="1"/>
    <col min="6170" max="6170" width="10.3046875" style="46" customWidth="1"/>
    <col min="6171" max="6171" width="11.15234375" style="46" customWidth="1"/>
    <col min="6172" max="6423" width="7.4609375" style="46"/>
    <col min="6424" max="6424" width="30.4609375" style="46" customWidth="1"/>
    <col min="6425" max="6425" width="14.23046875" style="46" customWidth="1"/>
    <col min="6426" max="6426" width="10.3046875" style="46" customWidth="1"/>
    <col min="6427" max="6427" width="11.15234375" style="46" customWidth="1"/>
    <col min="6428" max="6679" width="7.4609375" style="46"/>
    <col min="6680" max="6680" width="30.4609375" style="46" customWidth="1"/>
    <col min="6681" max="6681" width="14.23046875" style="46" customWidth="1"/>
    <col min="6682" max="6682" width="10.3046875" style="46" customWidth="1"/>
    <col min="6683" max="6683" width="11.15234375" style="46" customWidth="1"/>
    <col min="6684" max="6935" width="7.4609375" style="46"/>
    <col min="6936" max="6936" width="30.4609375" style="46" customWidth="1"/>
    <col min="6937" max="6937" width="14.23046875" style="46" customWidth="1"/>
    <col min="6938" max="6938" width="10.3046875" style="46" customWidth="1"/>
    <col min="6939" max="6939" width="11.15234375" style="46" customWidth="1"/>
    <col min="6940" max="7191" width="7.4609375" style="46"/>
    <col min="7192" max="7192" width="30.4609375" style="46" customWidth="1"/>
    <col min="7193" max="7193" width="14.23046875" style="46" customWidth="1"/>
    <col min="7194" max="7194" width="10.3046875" style="46" customWidth="1"/>
    <col min="7195" max="7195" width="11.15234375" style="46" customWidth="1"/>
    <col min="7196" max="7447" width="7.4609375" style="46"/>
    <col min="7448" max="7448" width="30.4609375" style="46" customWidth="1"/>
    <col min="7449" max="7449" width="14.23046875" style="46" customWidth="1"/>
    <col min="7450" max="7450" width="10.3046875" style="46" customWidth="1"/>
    <col min="7451" max="7451" width="11.15234375" style="46" customWidth="1"/>
    <col min="7452" max="7703" width="7.4609375" style="46"/>
    <col min="7704" max="7704" width="30.4609375" style="46" customWidth="1"/>
    <col min="7705" max="7705" width="14.23046875" style="46" customWidth="1"/>
    <col min="7706" max="7706" width="10.3046875" style="46" customWidth="1"/>
    <col min="7707" max="7707" width="11.15234375" style="46" customWidth="1"/>
    <col min="7708" max="7959" width="7.4609375" style="46"/>
    <col min="7960" max="7960" width="30.4609375" style="46" customWidth="1"/>
    <col min="7961" max="7961" width="14.23046875" style="46" customWidth="1"/>
    <col min="7962" max="7962" width="10.3046875" style="46" customWidth="1"/>
    <col min="7963" max="7963" width="11.15234375" style="46" customWidth="1"/>
    <col min="7964" max="8215" width="7.4609375" style="46"/>
    <col min="8216" max="8216" width="30.4609375" style="46" customWidth="1"/>
    <col min="8217" max="8217" width="14.23046875" style="46" customWidth="1"/>
    <col min="8218" max="8218" width="10.3046875" style="46" customWidth="1"/>
    <col min="8219" max="8219" width="11.15234375" style="46" customWidth="1"/>
    <col min="8220" max="8471" width="7.4609375" style="46"/>
    <col min="8472" max="8472" width="30.4609375" style="46" customWidth="1"/>
    <col min="8473" max="8473" width="14.23046875" style="46" customWidth="1"/>
    <col min="8474" max="8474" width="10.3046875" style="46" customWidth="1"/>
    <col min="8475" max="8475" width="11.15234375" style="46" customWidth="1"/>
    <col min="8476" max="8727" width="7.4609375" style="46"/>
    <col min="8728" max="8728" width="30.4609375" style="46" customWidth="1"/>
    <col min="8729" max="8729" width="14.23046875" style="46" customWidth="1"/>
    <col min="8730" max="8730" width="10.3046875" style="46" customWidth="1"/>
    <col min="8731" max="8731" width="11.15234375" style="46" customWidth="1"/>
    <col min="8732" max="8983" width="7.4609375" style="46"/>
    <col min="8984" max="8984" width="30.4609375" style="46" customWidth="1"/>
    <col min="8985" max="8985" width="14.23046875" style="46" customWidth="1"/>
    <col min="8986" max="8986" width="10.3046875" style="46" customWidth="1"/>
    <col min="8987" max="8987" width="11.15234375" style="46" customWidth="1"/>
    <col min="8988" max="9239" width="7.4609375" style="46"/>
    <col min="9240" max="9240" width="30.4609375" style="46" customWidth="1"/>
    <col min="9241" max="9241" width="14.23046875" style="46" customWidth="1"/>
    <col min="9242" max="9242" width="10.3046875" style="46" customWidth="1"/>
    <col min="9243" max="9243" width="11.15234375" style="46" customWidth="1"/>
    <col min="9244" max="9495" width="7.4609375" style="46"/>
    <col min="9496" max="9496" width="30.4609375" style="46" customWidth="1"/>
    <col min="9497" max="9497" width="14.23046875" style="46" customWidth="1"/>
    <col min="9498" max="9498" width="10.3046875" style="46" customWidth="1"/>
    <col min="9499" max="9499" width="11.15234375" style="46" customWidth="1"/>
    <col min="9500" max="9751" width="7.4609375" style="46"/>
    <col min="9752" max="9752" width="30.4609375" style="46" customWidth="1"/>
    <col min="9753" max="9753" width="14.23046875" style="46" customWidth="1"/>
    <col min="9754" max="9754" width="10.3046875" style="46" customWidth="1"/>
    <col min="9755" max="9755" width="11.15234375" style="46" customWidth="1"/>
    <col min="9756" max="10007" width="7.4609375" style="46"/>
    <col min="10008" max="10008" width="30.4609375" style="46" customWidth="1"/>
    <col min="10009" max="10009" width="14.23046875" style="46" customWidth="1"/>
    <col min="10010" max="10010" width="10.3046875" style="46" customWidth="1"/>
    <col min="10011" max="10011" width="11.15234375" style="46" customWidth="1"/>
    <col min="10012" max="10263" width="7.4609375" style="46"/>
    <col min="10264" max="10264" width="30.4609375" style="46" customWidth="1"/>
    <col min="10265" max="10265" width="14.23046875" style="46" customWidth="1"/>
    <col min="10266" max="10266" width="10.3046875" style="46" customWidth="1"/>
    <col min="10267" max="10267" width="11.15234375" style="46" customWidth="1"/>
    <col min="10268" max="10519" width="7.4609375" style="46"/>
    <col min="10520" max="10520" width="30.4609375" style="46" customWidth="1"/>
    <col min="10521" max="10521" width="14.23046875" style="46" customWidth="1"/>
    <col min="10522" max="10522" width="10.3046875" style="46" customWidth="1"/>
    <col min="10523" max="10523" width="11.15234375" style="46" customWidth="1"/>
    <col min="10524" max="10775" width="7.4609375" style="46"/>
    <col min="10776" max="10776" width="30.4609375" style="46" customWidth="1"/>
    <col min="10777" max="10777" width="14.23046875" style="46" customWidth="1"/>
    <col min="10778" max="10778" width="10.3046875" style="46" customWidth="1"/>
    <col min="10779" max="10779" width="11.15234375" style="46" customWidth="1"/>
    <col min="10780" max="11031" width="7.4609375" style="46"/>
    <col min="11032" max="11032" width="30.4609375" style="46" customWidth="1"/>
    <col min="11033" max="11033" width="14.23046875" style="46" customWidth="1"/>
    <col min="11034" max="11034" width="10.3046875" style="46" customWidth="1"/>
    <col min="11035" max="11035" width="11.15234375" style="46" customWidth="1"/>
    <col min="11036" max="11287" width="7.4609375" style="46"/>
    <col min="11288" max="11288" width="30.4609375" style="46" customWidth="1"/>
    <col min="11289" max="11289" width="14.23046875" style="46" customWidth="1"/>
    <col min="11290" max="11290" width="10.3046875" style="46" customWidth="1"/>
    <col min="11291" max="11291" width="11.15234375" style="46" customWidth="1"/>
    <col min="11292" max="11543" width="7.4609375" style="46"/>
    <col min="11544" max="11544" width="30.4609375" style="46" customWidth="1"/>
    <col min="11545" max="11545" width="14.23046875" style="46" customWidth="1"/>
    <col min="11546" max="11546" width="10.3046875" style="46" customWidth="1"/>
    <col min="11547" max="11547" width="11.15234375" style="46" customWidth="1"/>
    <col min="11548" max="11799" width="7.4609375" style="46"/>
    <col min="11800" max="11800" width="30.4609375" style="46" customWidth="1"/>
    <col min="11801" max="11801" width="14.23046875" style="46" customWidth="1"/>
    <col min="11802" max="11802" width="10.3046875" style="46" customWidth="1"/>
    <col min="11803" max="11803" width="11.15234375" style="46" customWidth="1"/>
    <col min="11804" max="12055" width="7.4609375" style="46"/>
    <col min="12056" max="12056" width="30.4609375" style="46" customWidth="1"/>
    <col min="12057" max="12057" width="14.23046875" style="46" customWidth="1"/>
    <col min="12058" max="12058" width="10.3046875" style="46" customWidth="1"/>
    <col min="12059" max="12059" width="11.15234375" style="46" customWidth="1"/>
    <col min="12060" max="12311" width="7.4609375" style="46"/>
    <col min="12312" max="12312" width="30.4609375" style="46" customWidth="1"/>
    <col min="12313" max="12313" width="14.23046875" style="46" customWidth="1"/>
    <col min="12314" max="12314" width="10.3046875" style="46" customWidth="1"/>
    <col min="12315" max="12315" width="11.15234375" style="46" customWidth="1"/>
    <col min="12316" max="12567" width="7.4609375" style="46"/>
    <col min="12568" max="12568" width="30.4609375" style="46" customWidth="1"/>
    <col min="12569" max="12569" width="14.23046875" style="46" customWidth="1"/>
    <col min="12570" max="12570" width="10.3046875" style="46" customWidth="1"/>
    <col min="12571" max="12571" width="11.15234375" style="46" customWidth="1"/>
    <col min="12572" max="12823" width="7.4609375" style="46"/>
    <col min="12824" max="12824" width="30.4609375" style="46" customWidth="1"/>
    <col min="12825" max="12825" width="14.23046875" style="46" customWidth="1"/>
    <col min="12826" max="12826" width="10.3046875" style="46" customWidth="1"/>
    <col min="12827" max="12827" width="11.15234375" style="46" customWidth="1"/>
    <col min="12828" max="13079" width="7.4609375" style="46"/>
    <col min="13080" max="13080" width="30.4609375" style="46" customWidth="1"/>
    <col min="13081" max="13081" width="14.23046875" style="46" customWidth="1"/>
    <col min="13082" max="13082" width="10.3046875" style="46" customWidth="1"/>
    <col min="13083" max="13083" width="11.15234375" style="46" customWidth="1"/>
    <col min="13084" max="13335" width="7.4609375" style="46"/>
    <col min="13336" max="13336" width="30.4609375" style="46" customWidth="1"/>
    <col min="13337" max="13337" width="14.23046875" style="46" customWidth="1"/>
    <col min="13338" max="13338" width="10.3046875" style="46" customWidth="1"/>
    <col min="13339" max="13339" width="11.15234375" style="46" customWidth="1"/>
    <col min="13340" max="13591" width="7.4609375" style="46"/>
    <col min="13592" max="13592" width="30.4609375" style="46" customWidth="1"/>
    <col min="13593" max="13593" width="14.23046875" style="46" customWidth="1"/>
    <col min="13594" max="13594" width="10.3046875" style="46" customWidth="1"/>
    <col min="13595" max="13595" width="11.15234375" style="46" customWidth="1"/>
    <col min="13596" max="13847" width="7.4609375" style="46"/>
    <col min="13848" max="13848" width="30.4609375" style="46" customWidth="1"/>
    <col min="13849" max="13849" width="14.23046875" style="46" customWidth="1"/>
    <col min="13850" max="13850" width="10.3046875" style="46" customWidth="1"/>
    <col min="13851" max="13851" width="11.15234375" style="46" customWidth="1"/>
    <col min="13852" max="14103" width="7.4609375" style="46"/>
    <col min="14104" max="14104" width="30.4609375" style="46" customWidth="1"/>
    <col min="14105" max="14105" width="14.23046875" style="46" customWidth="1"/>
    <col min="14106" max="14106" width="10.3046875" style="46" customWidth="1"/>
    <col min="14107" max="14107" width="11.15234375" style="46" customWidth="1"/>
    <col min="14108" max="14359" width="7.4609375" style="46"/>
    <col min="14360" max="14360" width="30.4609375" style="46" customWidth="1"/>
    <col min="14361" max="14361" width="14.23046875" style="46" customWidth="1"/>
    <col min="14362" max="14362" width="10.3046875" style="46" customWidth="1"/>
    <col min="14363" max="14363" width="11.15234375" style="46" customWidth="1"/>
    <col min="14364" max="14615" width="7.4609375" style="46"/>
    <col min="14616" max="14616" width="30.4609375" style="46" customWidth="1"/>
    <col min="14617" max="14617" width="14.23046875" style="46" customWidth="1"/>
    <col min="14618" max="14618" width="10.3046875" style="46" customWidth="1"/>
    <col min="14619" max="14619" width="11.15234375" style="46" customWidth="1"/>
    <col min="14620" max="14871" width="7.4609375" style="46"/>
    <col min="14872" max="14872" width="30.4609375" style="46" customWidth="1"/>
    <col min="14873" max="14873" width="14.23046875" style="46" customWidth="1"/>
    <col min="14874" max="14874" width="10.3046875" style="46" customWidth="1"/>
    <col min="14875" max="14875" width="11.15234375" style="46" customWidth="1"/>
    <col min="14876" max="15127" width="7.4609375" style="46"/>
    <col min="15128" max="15128" width="30.4609375" style="46" customWidth="1"/>
    <col min="15129" max="15129" width="14.23046875" style="46" customWidth="1"/>
    <col min="15130" max="15130" width="10.3046875" style="46" customWidth="1"/>
    <col min="15131" max="15131" width="11.15234375" style="46" customWidth="1"/>
    <col min="15132" max="15383" width="7.4609375" style="46"/>
    <col min="15384" max="15384" width="30.4609375" style="46" customWidth="1"/>
    <col min="15385" max="15385" width="14.23046875" style="46" customWidth="1"/>
    <col min="15386" max="15386" width="10.3046875" style="46" customWidth="1"/>
    <col min="15387" max="15387" width="11.15234375" style="46" customWidth="1"/>
    <col min="15388" max="15639" width="7.4609375" style="46"/>
    <col min="15640" max="15640" width="30.4609375" style="46" customWidth="1"/>
    <col min="15641" max="15641" width="14.23046875" style="46" customWidth="1"/>
    <col min="15642" max="15642" width="10.3046875" style="46" customWidth="1"/>
    <col min="15643" max="15643" width="11.15234375" style="46" customWidth="1"/>
    <col min="15644" max="15895" width="7.4609375" style="46"/>
    <col min="15896" max="15896" width="30.4609375" style="46" customWidth="1"/>
    <col min="15897" max="15897" width="14.23046875" style="46" customWidth="1"/>
    <col min="15898" max="15898" width="10.3046875" style="46" customWidth="1"/>
    <col min="15899" max="15899" width="11.15234375" style="46" customWidth="1"/>
    <col min="15900" max="16151" width="7.4609375" style="46"/>
    <col min="16152" max="16152" width="30.4609375" style="46" customWidth="1"/>
    <col min="16153" max="16153" width="14.23046875" style="46" customWidth="1"/>
    <col min="16154" max="16154" width="10.3046875" style="46" customWidth="1"/>
    <col min="16155" max="16155" width="11.15234375" style="46" customWidth="1"/>
    <col min="16156" max="16384" width="7.4609375" style="46"/>
  </cols>
  <sheetData>
    <row r="1" spans="1:25" ht="29" x14ac:dyDescent="0.35">
      <c r="A1" s="45" t="s">
        <v>45</v>
      </c>
      <c r="B1" s="45" t="s">
        <v>30</v>
      </c>
      <c r="C1" s="45" t="s">
        <v>186</v>
      </c>
      <c r="D1" s="45" t="s">
        <v>62</v>
      </c>
      <c r="E1" s="45" t="s">
        <v>110</v>
      </c>
      <c r="F1" s="48" t="s">
        <v>119</v>
      </c>
      <c r="G1" s="48" t="s">
        <v>192</v>
      </c>
      <c r="H1" s="48" t="s">
        <v>205</v>
      </c>
      <c r="I1" s="49" t="s">
        <v>206</v>
      </c>
      <c r="J1" s="49" t="s">
        <v>213</v>
      </c>
      <c r="K1" s="49" t="s">
        <v>214</v>
      </c>
      <c r="L1" s="49" t="s">
        <v>218</v>
      </c>
      <c r="M1" s="49" t="s">
        <v>225</v>
      </c>
      <c r="N1" s="49" t="s">
        <v>226</v>
      </c>
      <c r="O1" s="49" t="s">
        <v>193</v>
      </c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 s="67" customFormat="1" x14ac:dyDescent="0.35">
      <c r="A2" s="67" t="s">
        <v>23</v>
      </c>
      <c r="B2" s="67" t="s">
        <v>27</v>
      </c>
      <c r="C2" s="67" t="s">
        <v>78</v>
      </c>
      <c r="D2" s="68">
        <v>36260</v>
      </c>
      <c r="E2" s="68">
        <f>VLOOKUP(A2, Data!$A$2:$Z$46, 23, FALSE)</f>
        <v>255</v>
      </c>
      <c r="F2" s="67">
        <f>VLOOKUP(A2, Data!$A$2:$Z$46, 24, FALSE)</f>
        <v>1</v>
      </c>
      <c r="G2" s="67">
        <v>1</v>
      </c>
      <c r="H2" s="67" t="s">
        <v>207</v>
      </c>
      <c r="I2" s="67" t="s">
        <v>78</v>
      </c>
      <c r="J2" s="67" t="s">
        <v>215</v>
      </c>
      <c r="K2" s="69">
        <f>'PV Regression Results'!$B$17+'PV Regression Results'!$B$18*'Pay Equity'!E2</f>
        <v>38903.623649851259</v>
      </c>
      <c r="L2" s="69">
        <f>IF(K2&gt;D2, K2-D2, 0)</f>
        <v>2643.623649851259</v>
      </c>
      <c r="M2" s="69">
        <f>VLOOKUP(F2, 'Pay Structure'!$A$1:$D$12, 2, FALSE)</f>
        <v>24942.197452229302</v>
      </c>
      <c r="N2" s="69">
        <f>IF(K2&gt;M2, L2, M2-D2)</f>
        <v>2643.623649851259</v>
      </c>
      <c r="O2" s="70" t="s">
        <v>194</v>
      </c>
    </row>
    <row r="3" spans="1:25" ht="29" x14ac:dyDescent="0.35">
      <c r="A3" s="46" t="s">
        <v>37</v>
      </c>
      <c r="B3" s="46" t="s">
        <v>20</v>
      </c>
      <c r="C3" s="46" t="s">
        <v>78</v>
      </c>
      <c r="D3" s="47">
        <v>44526</v>
      </c>
      <c r="E3" s="47">
        <f>VLOOKUP(A3, Data!$A$2:$Z$46, 23, FALSE)</f>
        <v>260</v>
      </c>
      <c r="F3" s="46">
        <f>VLOOKUP(A3, Data!$A$2:$Z$46, 24, FALSE)</f>
        <v>2</v>
      </c>
      <c r="G3" s="46">
        <v>1</v>
      </c>
      <c r="H3" s="46" t="s">
        <v>207</v>
      </c>
      <c r="I3" s="46" t="s">
        <v>78</v>
      </c>
      <c r="J3" s="46" t="s">
        <v>215</v>
      </c>
      <c r="K3" s="71">
        <f>'PV Regression Results'!$B$17+'PV Regression Results'!$B$18*'Pay Equity'!E3</f>
        <v>39642.657900605489</v>
      </c>
      <c r="L3" s="71">
        <f t="shared" ref="L3:L44" si="0">IF(K3&gt;D3, K3-D3, 0)</f>
        <v>0</v>
      </c>
      <c r="M3" s="71">
        <f>VLOOKUP(F3, 'Pay Structure'!$A$1:$D$12, 2, FALSE)</f>
        <v>27935.261146496821</v>
      </c>
      <c r="N3" s="69">
        <f t="shared" ref="N3:N44" si="1">IF(K3&gt;M3, L3, M3-D3)</f>
        <v>0</v>
      </c>
      <c r="O3" s="50" t="s">
        <v>195</v>
      </c>
      <c r="P3" s="67"/>
      <c r="R3" s="67"/>
      <c r="S3" s="67"/>
    </row>
    <row r="4" spans="1:25" x14ac:dyDescent="0.35">
      <c r="A4" s="46" t="s">
        <v>33</v>
      </c>
      <c r="B4" s="46" t="s">
        <v>20</v>
      </c>
      <c r="C4" s="46" t="s">
        <v>78</v>
      </c>
      <c r="D4" s="47">
        <v>32008</v>
      </c>
      <c r="E4" s="47">
        <v>265</v>
      </c>
      <c r="F4" s="46">
        <v>2</v>
      </c>
      <c r="G4" s="46">
        <v>2</v>
      </c>
      <c r="H4" s="77" t="s">
        <v>207</v>
      </c>
      <c r="I4" s="46" t="s">
        <v>78</v>
      </c>
      <c r="J4" s="46" t="s">
        <v>215</v>
      </c>
      <c r="K4" s="71">
        <f>'PV Regression Results'!$B$17+'PV Regression Results'!$B$18*'Pay Equity'!E4</f>
        <v>40381.692151359719</v>
      </c>
      <c r="L4" s="71">
        <f t="shared" si="0"/>
        <v>8373.692151359719</v>
      </c>
      <c r="M4" s="71">
        <f>VLOOKUP(F4, 'Pay Structure'!$A$1:$D$12, 2, FALSE)</f>
        <v>27935.261146496821</v>
      </c>
      <c r="N4" s="69">
        <f t="shared" si="1"/>
        <v>8373.692151359719</v>
      </c>
      <c r="O4" s="75" t="s">
        <v>196</v>
      </c>
      <c r="P4" s="67"/>
      <c r="R4" s="67"/>
      <c r="S4" s="67"/>
    </row>
    <row r="5" spans="1:25" s="67" customFormat="1" x14ac:dyDescent="0.35">
      <c r="A5" s="67" t="s">
        <v>23</v>
      </c>
      <c r="B5" s="67" t="s">
        <v>20</v>
      </c>
      <c r="C5" s="67" t="s">
        <v>78</v>
      </c>
      <c r="D5" s="68">
        <v>36113</v>
      </c>
      <c r="E5" s="68">
        <v>265</v>
      </c>
      <c r="F5" s="67">
        <v>2</v>
      </c>
      <c r="G5" s="67">
        <v>2</v>
      </c>
      <c r="H5" s="78"/>
      <c r="I5" s="67" t="s">
        <v>78</v>
      </c>
      <c r="J5" s="67" t="s">
        <v>215</v>
      </c>
      <c r="K5" s="69">
        <f>'PV Regression Results'!$B$17+'PV Regression Results'!$B$18*'Pay Equity'!E5</f>
        <v>40381.692151359719</v>
      </c>
      <c r="L5" s="69">
        <f t="shared" si="0"/>
        <v>4268.692151359719</v>
      </c>
      <c r="M5" s="69">
        <f>VLOOKUP(F5, 'Pay Structure'!$A$1:$D$12, 2, FALSE)</f>
        <v>27935.261146496821</v>
      </c>
      <c r="N5" s="69">
        <f t="shared" si="1"/>
        <v>4268.692151359719</v>
      </c>
      <c r="O5" s="76"/>
    </row>
    <row r="6" spans="1:25" x14ac:dyDescent="0.35">
      <c r="A6" s="46" t="s">
        <v>38</v>
      </c>
      <c r="B6" s="46" t="s">
        <v>20</v>
      </c>
      <c r="C6" s="46" t="s">
        <v>78</v>
      </c>
      <c r="D6" s="47">
        <v>46481</v>
      </c>
      <c r="E6" s="47">
        <f>VLOOKUP(A6, Data!$A$2:$Z$46, 23, FALSE)</f>
        <v>280</v>
      </c>
      <c r="F6" s="46">
        <f>VLOOKUP(A6, Data!$A$2:$Z$46, 24, FALSE)</f>
        <v>3</v>
      </c>
      <c r="G6" s="46">
        <v>1</v>
      </c>
      <c r="H6" s="46" t="s">
        <v>207</v>
      </c>
      <c r="I6" s="46" t="s">
        <v>78</v>
      </c>
      <c r="J6" s="46" t="s">
        <v>215</v>
      </c>
      <c r="K6" s="71">
        <f>'PV Regression Results'!$B$17+'PV Regression Results'!$B$18*'Pay Equity'!E6</f>
        <v>42598.794903622416</v>
      </c>
      <c r="L6" s="71">
        <f t="shared" si="0"/>
        <v>0</v>
      </c>
      <c r="M6" s="71">
        <f>VLOOKUP(F6, 'Pay Structure'!$A$1:$D$12, 2, FALSE)</f>
        <v>31287.492484076443</v>
      </c>
      <c r="N6" s="69">
        <f t="shared" si="1"/>
        <v>0</v>
      </c>
      <c r="O6" s="50" t="s">
        <v>197</v>
      </c>
      <c r="P6" s="67"/>
      <c r="R6" s="67"/>
      <c r="S6" s="67"/>
    </row>
    <row r="7" spans="1:25" x14ac:dyDescent="0.35">
      <c r="A7" s="46" t="s">
        <v>46</v>
      </c>
      <c r="B7" s="46" t="s">
        <v>6</v>
      </c>
      <c r="C7" s="46" t="s">
        <v>78</v>
      </c>
      <c r="D7" s="47">
        <v>42908</v>
      </c>
      <c r="E7" s="47">
        <f>VLOOKUP(A7, Data!$A$2:$Z$46, 23, FALSE)</f>
        <v>280</v>
      </c>
      <c r="F7" s="46">
        <f>VLOOKUP(A7, Data!$A$2:$Z$46, 24, FALSE)</f>
        <v>3</v>
      </c>
      <c r="G7" s="46">
        <v>2</v>
      </c>
      <c r="H7" s="75" t="s">
        <v>208</v>
      </c>
      <c r="I7" s="46" t="s">
        <v>78</v>
      </c>
      <c r="J7" s="46" t="s">
        <v>215</v>
      </c>
      <c r="K7" s="71">
        <f>'PV Regression Results'!$B$17+'PV Regression Results'!$B$18*'Pay Equity'!E7</f>
        <v>42598.794903622416</v>
      </c>
      <c r="L7" s="71">
        <f t="shared" si="0"/>
        <v>0</v>
      </c>
      <c r="M7" s="71">
        <f>VLOOKUP(F7, 'Pay Structure'!$A$1:$D$12, 2, FALSE)</f>
        <v>31287.492484076443</v>
      </c>
      <c r="N7" s="69">
        <f t="shared" si="1"/>
        <v>0</v>
      </c>
      <c r="O7" s="75" t="s">
        <v>198</v>
      </c>
      <c r="P7" s="67"/>
      <c r="R7" s="67"/>
      <c r="S7" s="67"/>
    </row>
    <row r="8" spans="1:25" x14ac:dyDescent="0.35">
      <c r="A8" s="46" t="s">
        <v>10</v>
      </c>
      <c r="B8" s="46" t="s">
        <v>6</v>
      </c>
      <c r="C8" s="46" t="s">
        <v>187</v>
      </c>
      <c r="D8" s="47">
        <v>37370</v>
      </c>
      <c r="E8" s="47">
        <f>VLOOKUP(A8, Data!$A$2:$Z$46, 23, FALSE)</f>
        <v>280</v>
      </c>
      <c r="F8" s="46">
        <f>VLOOKUP(A8, Data!$A$2:$Z$46, 24, FALSE)</f>
        <v>3</v>
      </c>
      <c r="G8" s="46">
        <v>2</v>
      </c>
      <c r="H8" s="75"/>
      <c r="I8" s="46" t="s">
        <v>78</v>
      </c>
      <c r="J8" s="46" t="s">
        <v>215</v>
      </c>
      <c r="K8" s="71">
        <f>'PV Regression Results'!$B$17+'PV Regression Results'!$B$18*'Pay Equity'!E8</f>
        <v>42598.794903622416</v>
      </c>
      <c r="L8" s="71">
        <f t="shared" si="0"/>
        <v>5228.7949036224163</v>
      </c>
      <c r="M8" s="71">
        <f>VLOOKUP(F8, 'Pay Structure'!$A$1:$D$12, 2, FALSE)</f>
        <v>31287.492484076443</v>
      </c>
      <c r="N8" s="69">
        <f t="shared" si="1"/>
        <v>5228.7949036224163</v>
      </c>
      <c r="O8" s="75"/>
      <c r="P8" s="67"/>
      <c r="R8" s="67"/>
      <c r="S8" s="67"/>
    </row>
    <row r="9" spans="1:25" x14ac:dyDescent="0.35">
      <c r="A9" s="46" t="s">
        <v>10</v>
      </c>
      <c r="B9" s="46" t="s">
        <v>6</v>
      </c>
      <c r="C9" s="46" t="s">
        <v>78</v>
      </c>
      <c r="D9" s="47">
        <v>38513</v>
      </c>
      <c r="E9" s="47">
        <f>VLOOKUP(A9, Data!$A$2:$Z$46, 23, FALSE)</f>
        <v>280</v>
      </c>
      <c r="F9" s="46">
        <f>VLOOKUP(A9, Data!$A$2:$Z$46, 24, FALSE)</f>
        <v>3</v>
      </c>
      <c r="G9" s="46">
        <v>2</v>
      </c>
      <c r="H9" s="75"/>
      <c r="I9" s="46" t="s">
        <v>78</v>
      </c>
      <c r="J9" s="46" t="s">
        <v>215</v>
      </c>
      <c r="K9" s="71">
        <f>'PV Regression Results'!$B$17+'PV Regression Results'!$B$18*'Pay Equity'!E9</f>
        <v>42598.794903622416</v>
      </c>
      <c r="L9" s="71">
        <f t="shared" si="0"/>
        <v>4085.7949036224163</v>
      </c>
      <c r="M9" s="71">
        <f>VLOOKUP(F9, 'Pay Structure'!$A$1:$D$12, 2, FALSE)</f>
        <v>31287.492484076443</v>
      </c>
      <c r="N9" s="69">
        <f t="shared" si="1"/>
        <v>4085.7949036224163</v>
      </c>
      <c r="O9" s="75"/>
      <c r="P9" s="67"/>
      <c r="R9" s="67"/>
      <c r="S9" s="67"/>
    </row>
    <row r="10" spans="1:25" s="67" customFormat="1" ht="29" x14ac:dyDescent="0.35">
      <c r="A10" s="67" t="s">
        <v>7</v>
      </c>
      <c r="B10" s="67" t="s">
        <v>6</v>
      </c>
      <c r="C10" s="67" t="s">
        <v>78</v>
      </c>
      <c r="D10" s="68">
        <v>43898</v>
      </c>
      <c r="E10" s="68">
        <f>VLOOKUP(A10, Data!$A$2:$Z$46, 23, FALSE)</f>
        <v>285</v>
      </c>
      <c r="F10" s="67">
        <f>VLOOKUP(A10, Data!$A$2:$Z$46, 24, FALSE)</f>
        <v>3</v>
      </c>
      <c r="G10" s="67">
        <v>3</v>
      </c>
      <c r="H10" s="67" t="s">
        <v>207</v>
      </c>
      <c r="I10" s="67" t="s">
        <v>78</v>
      </c>
      <c r="J10" s="67" t="s">
        <v>215</v>
      </c>
      <c r="K10" s="69">
        <f>'PV Regression Results'!$B$17+'PV Regression Results'!$B$18*'Pay Equity'!E10</f>
        <v>43337.829154376646</v>
      </c>
      <c r="L10" s="69">
        <f t="shared" si="0"/>
        <v>0</v>
      </c>
      <c r="M10" s="69">
        <f>VLOOKUP(F10, 'Pay Structure'!$A$1:$D$12, 2, FALSE)</f>
        <v>31287.492484076443</v>
      </c>
      <c r="N10" s="69">
        <f t="shared" si="1"/>
        <v>0</v>
      </c>
      <c r="O10" s="70" t="s">
        <v>200</v>
      </c>
    </row>
    <row r="11" spans="1:25" x14ac:dyDescent="0.35">
      <c r="A11" s="46" t="s">
        <v>48</v>
      </c>
      <c r="B11" s="46" t="s">
        <v>12</v>
      </c>
      <c r="C11" s="46" t="s">
        <v>78</v>
      </c>
      <c r="D11" s="47">
        <v>37258</v>
      </c>
      <c r="E11" s="47">
        <f>VLOOKUP(A11, Data!$A$2:$Z$46, 23, FALSE)</f>
        <v>290</v>
      </c>
      <c r="F11" s="46">
        <f>VLOOKUP(A11, Data!$A$2:$Z$46, 24, FALSE)</f>
        <v>4</v>
      </c>
      <c r="G11" s="46">
        <v>1</v>
      </c>
      <c r="H11" s="46" t="s">
        <v>207</v>
      </c>
      <c r="I11" s="46" t="s">
        <v>78</v>
      </c>
      <c r="J11" s="46" t="s">
        <v>216</v>
      </c>
      <c r="K11" s="47">
        <f>D12</f>
        <v>41500</v>
      </c>
      <c r="L11" s="71">
        <f t="shared" si="0"/>
        <v>4242</v>
      </c>
      <c r="M11" s="71">
        <f>VLOOKUP(F11, 'Pay Structure'!$A$1:$D$12, 2, FALSE)</f>
        <v>34416.241732484094</v>
      </c>
      <c r="N11" s="69">
        <f t="shared" si="1"/>
        <v>4242</v>
      </c>
      <c r="O11" s="50" t="s">
        <v>197</v>
      </c>
      <c r="P11" s="67"/>
      <c r="R11" s="67"/>
      <c r="S11" s="67"/>
    </row>
    <row r="12" spans="1:25" x14ac:dyDescent="0.35">
      <c r="A12" s="46" t="s">
        <v>51</v>
      </c>
      <c r="B12" s="46" t="s">
        <v>13</v>
      </c>
      <c r="C12" s="46" t="s">
        <v>187</v>
      </c>
      <c r="D12" s="47">
        <v>41500</v>
      </c>
      <c r="E12" s="47">
        <f>VLOOKUP(A12, Data!$A$2:$Z$46, 23, FALSE)</f>
        <v>290</v>
      </c>
      <c r="F12" s="46">
        <f>VLOOKUP(A12, Data!$A$2:$Z$46, 24, FALSE)</f>
        <v>4</v>
      </c>
      <c r="G12" s="46">
        <v>2</v>
      </c>
      <c r="H12" s="46" t="s">
        <v>209</v>
      </c>
      <c r="I12" s="46" t="s">
        <v>187</v>
      </c>
      <c r="J12" s="46" t="s">
        <v>217</v>
      </c>
      <c r="K12" s="46" t="s">
        <v>217</v>
      </c>
      <c r="L12" s="71" t="s">
        <v>217</v>
      </c>
      <c r="M12" s="71">
        <f>VLOOKUP(F12, 'Pay Structure'!$A$1:$D$12, 2, FALSE)</f>
        <v>34416.241732484094</v>
      </c>
      <c r="N12" s="69">
        <v>0</v>
      </c>
      <c r="O12" s="50" t="s">
        <v>197</v>
      </c>
      <c r="P12" s="67"/>
      <c r="R12" s="67"/>
      <c r="S12" s="67"/>
    </row>
    <row r="13" spans="1:25" ht="29" x14ac:dyDescent="0.35">
      <c r="A13" s="46" t="s">
        <v>43</v>
      </c>
      <c r="B13" s="46" t="s">
        <v>20</v>
      </c>
      <c r="C13" s="46" t="s">
        <v>78</v>
      </c>
      <c r="D13" s="47">
        <v>58000</v>
      </c>
      <c r="E13" s="47">
        <f>VLOOKUP(A13, Data!$A$2:$Z$46, 23, FALSE)</f>
        <v>295</v>
      </c>
      <c r="F13" s="46">
        <f>VLOOKUP(A13, Data!$A$2:$Z$46, 24, FALSE)</f>
        <v>4</v>
      </c>
      <c r="G13" s="46">
        <v>3</v>
      </c>
      <c r="H13" s="46" t="s">
        <v>207</v>
      </c>
      <c r="I13" s="46" t="s">
        <v>78</v>
      </c>
      <c r="J13" s="46" t="s">
        <v>216</v>
      </c>
      <c r="K13" s="47">
        <f>D12</f>
        <v>41500</v>
      </c>
      <c r="L13" s="71">
        <f t="shared" si="0"/>
        <v>0</v>
      </c>
      <c r="M13" s="71">
        <f>VLOOKUP(F13, 'Pay Structure'!$A$1:$D$12, 2, FALSE)</f>
        <v>34416.241732484094</v>
      </c>
      <c r="N13" s="69">
        <f t="shared" si="1"/>
        <v>0</v>
      </c>
      <c r="O13" s="50" t="s">
        <v>201</v>
      </c>
      <c r="P13" s="67"/>
      <c r="R13" s="67"/>
      <c r="S13" s="67"/>
    </row>
    <row r="14" spans="1:25" ht="29" x14ac:dyDescent="0.35">
      <c r="A14" s="46" t="s">
        <v>34</v>
      </c>
      <c r="B14" s="46" t="s">
        <v>20</v>
      </c>
      <c r="C14" s="46" t="s">
        <v>78</v>
      </c>
      <c r="D14" s="47">
        <v>32810</v>
      </c>
      <c r="E14" s="47">
        <f>VLOOKUP(A14, Data!$A$2:$Z$46, 23, FALSE)</f>
        <v>295</v>
      </c>
      <c r="F14" s="46">
        <f>VLOOKUP(A14, Data!$A$2:$Z$46, 24, FALSE)</f>
        <v>4</v>
      </c>
      <c r="G14" s="46">
        <v>4</v>
      </c>
      <c r="H14" s="46" t="s">
        <v>207</v>
      </c>
      <c r="I14" s="46" t="s">
        <v>78</v>
      </c>
      <c r="J14" s="46" t="s">
        <v>216</v>
      </c>
      <c r="K14" s="47">
        <f>D12</f>
        <v>41500</v>
      </c>
      <c r="L14" s="71">
        <f t="shared" si="0"/>
        <v>8690</v>
      </c>
      <c r="M14" s="71">
        <f>VLOOKUP(F14, 'Pay Structure'!$A$1:$D$12, 2, FALSE)</f>
        <v>34416.241732484094</v>
      </c>
      <c r="N14" s="69">
        <f t="shared" si="1"/>
        <v>8690</v>
      </c>
      <c r="O14" s="50" t="s">
        <v>200</v>
      </c>
      <c r="P14" s="67"/>
      <c r="R14" s="67"/>
      <c r="S14" s="67"/>
    </row>
    <row r="15" spans="1:25" s="67" customFormat="1" ht="29" x14ac:dyDescent="0.35">
      <c r="A15" s="67" t="s">
        <v>35</v>
      </c>
      <c r="B15" s="67" t="s">
        <v>20</v>
      </c>
      <c r="C15" s="67" t="s">
        <v>78</v>
      </c>
      <c r="D15" s="68">
        <v>40429</v>
      </c>
      <c r="E15" s="68">
        <f>VLOOKUP(A15, Data!$A$2:$Z$46, 23, FALSE)</f>
        <v>310</v>
      </c>
      <c r="F15" s="67">
        <f>VLOOKUP(A15, Data!$A$2:$Z$46, 24, FALSE)</f>
        <v>4</v>
      </c>
      <c r="G15" s="67">
        <v>5</v>
      </c>
      <c r="H15" s="67" t="s">
        <v>207</v>
      </c>
      <c r="I15" s="67" t="s">
        <v>78</v>
      </c>
      <c r="J15" s="67" t="s">
        <v>216</v>
      </c>
      <c r="K15" s="68">
        <f>D12</f>
        <v>41500</v>
      </c>
      <c r="L15" s="69">
        <f t="shared" si="0"/>
        <v>1071</v>
      </c>
      <c r="M15" s="69">
        <f>VLOOKUP(F15, 'Pay Structure'!$A$1:$D$12, 2, FALSE)</f>
        <v>34416.241732484094</v>
      </c>
      <c r="N15" s="69">
        <f t="shared" si="1"/>
        <v>1071</v>
      </c>
      <c r="O15" s="70" t="s">
        <v>200</v>
      </c>
    </row>
    <row r="16" spans="1:25" ht="29" x14ac:dyDescent="0.35">
      <c r="A16" s="46" t="s">
        <v>36</v>
      </c>
      <c r="B16" s="46" t="s">
        <v>20</v>
      </c>
      <c r="C16" s="46" t="s">
        <v>187</v>
      </c>
      <c r="D16" s="47">
        <v>41530</v>
      </c>
      <c r="E16" s="47">
        <f>VLOOKUP(A16, Data!$A$2:$Z$46, 23, FALSE)</f>
        <v>330</v>
      </c>
      <c r="F16" s="46">
        <f>VLOOKUP(A16, Data!$A$2:$Z$46, 24, FALSE)</f>
        <v>5</v>
      </c>
      <c r="G16" s="46">
        <v>1</v>
      </c>
      <c r="H16" s="46" t="s">
        <v>209</v>
      </c>
      <c r="I16" s="46" t="s">
        <v>187</v>
      </c>
      <c r="J16" s="46" t="s">
        <v>217</v>
      </c>
      <c r="K16" s="46" t="s">
        <v>217</v>
      </c>
      <c r="L16" s="71" t="s">
        <v>217</v>
      </c>
      <c r="M16" s="71">
        <f>VLOOKUP(F16, 'Pay Structure'!$A$1:$D$12, 2, FALSE)</f>
        <v>38890.353157707017</v>
      </c>
      <c r="N16" s="69">
        <v>0</v>
      </c>
      <c r="O16" s="50" t="s">
        <v>202</v>
      </c>
      <c r="P16" s="67"/>
      <c r="R16" s="67"/>
      <c r="S16" s="67"/>
    </row>
    <row r="17" spans="1:19" x14ac:dyDescent="0.35">
      <c r="A17" s="46" t="s">
        <v>53</v>
      </c>
      <c r="B17" s="46" t="s">
        <v>13</v>
      </c>
      <c r="C17" s="46" t="s">
        <v>187</v>
      </c>
      <c r="D17" s="47">
        <v>77289</v>
      </c>
      <c r="E17" s="47">
        <f>VLOOKUP(A17, Data!$A$2:$Z$46, 23, FALSE)</f>
        <v>335</v>
      </c>
      <c r="F17" s="46">
        <f>VLOOKUP(A17, Data!$A$2:$Z$46, 24, FALSE)</f>
        <v>5</v>
      </c>
      <c r="G17" s="46">
        <v>2</v>
      </c>
      <c r="H17" s="46" t="s">
        <v>209</v>
      </c>
      <c r="I17" s="46" t="s">
        <v>187</v>
      </c>
      <c r="J17" s="46" t="s">
        <v>217</v>
      </c>
      <c r="K17" s="46" t="s">
        <v>217</v>
      </c>
      <c r="L17" s="71" t="s">
        <v>217</v>
      </c>
      <c r="M17" s="71">
        <f>VLOOKUP(F17, 'Pay Structure'!$A$1:$D$12, 2, FALSE)</f>
        <v>38890.353157707017</v>
      </c>
      <c r="N17" s="69">
        <v>0</v>
      </c>
      <c r="O17" s="50" t="s">
        <v>197</v>
      </c>
      <c r="P17" s="67"/>
      <c r="R17" s="67"/>
      <c r="S17" s="67"/>
    </row>
    <row r="18" spans="1:19" x14ac:dyDescent="0.35">
      <c r="A18" s="46" t="s">
        <v>42</v>
      </c>
      <c r="B18" s="46" t="s">
        <v>20</v>
      </c>
      <c r="C18" s="46" t="s">
        <v>78</v>
      </c>
      <c r="D18" s="47">
        <v>68700</v>
      </c>
      <c r="E18" s="47">
        <f>VLOOKUP(A18, Data!$A$2:$Z$46, 23, FALSE)</f>
        <v>340</v>
      </c>
      <c r="F18" s="46">
        <f>VLOOKUP(A18, Data!$A$2:$Z$46, 24, FALSE)</f>
        <v>5</v>
      </c>
      <c r="G18" s="46">
        <v>3</v>
      </c>
      <c r="H18" s="46" t="s">
        <v>207</v>
      </c>
      <c r="I18" s="46" t="s">
        <v>78</v>
      </c>
      <c r="J18" s="46" t="s">
        <v>216</v>
      </c>
      <c r="K18" s="47">
        <f>D16</f>
        <v>41530</v>
      </c>
      <c r="L18" s="71">
        <f t="shared" si="0"/>
        <v>0</v>
      </c>
      <c r="M18" s="71">
        <f>VLOOKUP(F18, 'Pay Structure'!$A$1:$D$12, 2, FALSE)</f>
        <v>38890.353157707017</v>
      </c>
      <c r="N18" s="69">
        <f t="shared" si="1"/>
        <v>0</v>
      </c>
      <c r="O18" s="50" t="s">
        <v>203</v>
      </c>
      <c r="P18" s="67"/>
      <c r="R18" s="67"/>
      <c r="S18" s="67"/>
    </row>
    <row r="19" spans="1:19" x14ac:dyDescent="0.35">
      <c r="A19" s="46" t="s">
        <v>11</v>
      </c>
      <c r="B19" s="46" t="s">
        <v>6</v>
      </c>
      <c r="C19" s="46" t="s">
        <v>78</v>
      </c>
      <c r="D19" s="47">
        <v>39104</v>
      </c>
      <c r="E19" s="47">
        <f>VLOOKUP(A19, Data!$A$2:$Z$46, 23, FALSE)</f>
        <v>345</v>
      </c>
      <c r="F19" s="46">
        <f>VLOOKUP(A19, Data!$A$2:$Z$46, 24, FALSE)</f>
        <v>5</v>
      </c>
      <c r="G19" s="46">
        <v>4</v>
      </c>
      <c r="H19" s="72" t="s">
        <v>207</v>
      </c>
      <c r="I19" s="46" t="s">
        <v>78</v>
      </c>
      <c r="J19" s="46" t="s">
        <v>216</v>
      </c>
      <c r="K19" s="47">
        <f>D16</f>
        <v>41530</v>
      </c>
      <c r="L19" s="71">
        <f t="shared" si="0"/>
        <v>2426</v>
      </c>
      <c r="M19" s="71">
        <f>VLOOKUP(F19, 'Pay Structure'!$A$1:$D$12, 2, FALSE)</f>
        <v>38890.353157707017</v>
      </c>
      <c r="N19" s="69">
        <f t="shared" si="1"/>
        <v>2426</v>
      </c>
      <c r="O19" s="50" t="s">
        <v>197</v>
      </c>
      <c r="P19" s="67"/>
      <c r="R19" s="67"/>
      <c r="S19" s="67"/>
    </row>
    <row r="20" spans="1:19" ht="29" x14ac:dyDescent="0.35">
      <c r="A20" s="46" t="s">
        <v>40</v>
      </c>
      <c r="B20" s="46" t="s">
        <v>20</v>
      </c>
      <c r="C20" s="46" t="s">
        <v>187</v>
      </c>
      <c r="D20" s="47">
        <v>63348</v>
      </c>
      <c r="E20" s="47">
        <f>VLOOKUP(A20, Data!$A$2:$Z$46, 23, FALSE)</f>
        <v>350</v>
      </c>
      <c r="F20" s="46">
        <f>VLOOKUP(A20, Data!$A$2:$Z$46, 24, FALSE)</f>
        <v>5</v>
      </c>
      <c r="G20" s="46">
        <v>5</v>
      </c>
      <c r="H20" s="46" t="s">
        <v>209</v>
      </c>
      <c r="I20" s="46" t="s">
        <v>187</v>
      </c>
      <c r="J20" s="46" t="s">
        <v>217</v>
      </c>
      <c r="K20" s="46" t="s">
        <v>217</v>
      </c>
      <c r="L20" s="71" t="s">
        <v>217</v>
      </c>
      <c r="M20" s="71">
        <f>VLOOKUP(F20, 'Pay Structure'!$A$1:$D$12, 2, FALSE)</f>
        <v>38890.353157707017</v>
      </c>
      <c r="N20" s="69">
        <v>0</v>
      </c>
      <c r="O20" s="50" t="s">
        <v>202</v>
      </c>
      <c r="P20" s="67"/>
      <c r="R20" s="67"/>
      <c r="S20" s="67"/>
    </row>
    <row r="21" spans="1:19" ht="29" x14ac:dyDescent="0.35">
      <c r="A21" s="46" t="s">
        <v>21</v>
      </c>
      <c r="B21" s="46" t="s">
        <v>20</v>
      </c>
      <c r="C21" s="46" t="s">
        <v>78</v>
      </c>
      <c r="D21" s="47">
        <v>49508</v>
      </c>
      <c r="E21" s="47">
        <f>VLOOKUP(A21, Data!$A$2:$Z$46, 23, FALSE)</f>
        <v>350</v>
      </c>
      <c r="F21" s="46">
        <f>VLOOKUP(A21, Data!$A$2:$Z$46, 24, FALSE)</f>
        <v>5</v>
      </c>
      <c r="G21" s="46">
        <v>6</v>
      </c>
      <c r="H21" s="46" t="s">
        <v>207</v>
      </c>
      <c r="I21" s="46" t="s">
        <v>78</v>
      </c>
      <c r="J21" s="46" t="s">
        <v>216</v>
      </c>
      <c r="K21" s="47">
        <f>D16</f>
        <v>41530</v>
      </c>
      <c r="L21" s="71">
        <f t="shared" si="0"/>
        <v>0</v>
      </c>
      <c r="M21" s="71">
        <f>VLOOKUP(F21, 'Pay Structure'!$A$1:$D$12, 2, FALSE)</f>
        <v>38890.353157707017</v>
      </c>
      <c r="N21" s="69">
        <f t="shared" si="1"/>
        <v>0</v>
      </c>
      <c r="O21" s="50" t="s">
        <v>201</v>
      </c>
      <c r="P21" s="67"/>
      <c r="R21" s="67"/>
      <c r="S21" s="67"/>
    </row>
    <row r="22" spans="1:19" x14ac:dyDescent="0.35">
      <c r="A22" s="46" t="s">
        <v>26</v>
      </c>
      <c r="B22" s="46" t="s">
        <v>27</v>
      </c>
      <c r="C22" s="46" t="s">
        <v>189</v>
      </c>
      <c r="D22" s="47">
        <v>54390</v>
      </c>
      <c r="E22" s="47">
        <f>VLOOKUP(A22, Data!$A$2:$Z$46, 23, FALSE)</f>
        <v>355</v>
      </c>
      <c r="F22" s="46">
        <f>VLOOKUP(A22, Data!$A$2:$Z$46, 24, FALSE)</f>
        <v>5</v>
      </c>
      <c r="G22" s="46">
        <v>7</v>
      </c>
      <c r="H22" s="75" t="s">
        <v>210</v>
      </c>
      <c r="I22" s="46" t="s">
        <v>211</v>
      </c>
      <c r="J22" s="46" t="s">
        <v>217</v>
      </c>
      <c r="K22" s="46" t="s">
        <v>217</v>
      </c>
      <c r="L22" s="71" t="s">
        <v>217</v>
      </c>
      <c r="M22" s="71">
        <f>VLOOKUP(F22, 'Pay Structure'!$A$1:$D$12, 2, FALSE)</f>
        <v>38890.353157707017</v>
      </c>
      <c r="N22" s="69">
        <v>0</v>
      </c>
      <c r="O22" s="75" t="s">
        <v>199</v>
      </c>
      <c r="P22" s="67"/>
      <c r="R22" s="67"/>
      <c r="S22" s="67"/>
    </row>
    <row r="23" spans="1:19" x14ac:dyDescent="0.35">
      <c r="A23" s="46" t="s">
        <v>26</v>
      </c>
      <c r="B23" s="46" t="s">
        <v>27</v>
      </c>
      <c r="C23" s="46" t="s">
        <v>188</v>
      </c>
      <c r="D23" s="47">
        <v>56000</v>
      </c>
      <c r="E23" s="47">
        <f>VLOOKUP(A23, Data!$A$2:$Z$46, 23, FALSE)</f>
        <v>355</v>
      </c>
      <c r="F23" s="46">
        <f>VLOOKUP(A23, Data!$A$2:$Z$46, 24, FALSE)</f>
        <v>5</v>
      </c>
      <c r="G23" s="46">
        <v>7</v>
      </c>
      <c r="H23" s="75"/>
      <c r="I23" s="46" t="s">
        <v>211</v>
      </c>
      <c r="J23" s="46" t="s">
        <v>217</v>
      </c>
      <c r="K23" s="46" t="s">
        <v>217</v>
      </c>
      <c r="L23" s="71" t="s">
        <v>217</v>
      </c>
      <c r="M23" s="71">
        <f>VLOOKUP(F23, 'Pay Structure'!$A$1:$D$12, 2, FALSE)</f>
        <v>38890.353157707017</v>
      </c>
      <c r="N23" s="69">
        <v>0</v>
      </c>
      <c r="O23" s="75"/>
      <c r="P23" s="67"/>
      <c r="R23" s="67"/>
      <c r="S23" s="67"/>
    </row>
    <row r="24" spans="1:19" s="67" customFormat="1" x14ac:dyDescent="0.35">
      <c r="A24" s="67" t="s">
        <v>25</v>
      </c>
      <c r="B24" s="67" t="s">
        <v>27</v>
      </c>
      <c r="C24" s="67" t="s">
        <v>188</v>
      </c>
      <c r="D24" s="68">
        <v>58700</v>
      </c>
      <c r="E24" s="68">
        <f>VLOOKUP(A24, Data!$A$2:$Z$46, 23, FALSE)</f>
        <v>360</v>
      </c>
      <c r="F24" s="67">
        <f>VLOOKUP(A24, Data!$A$2:$Z$46, 24, FALSE)</f>
        <v>5</v>
      </c>
      <c r="G24" s="67">
        <v>7</v>
      </c>
      <c r="H24" s="76"/>
      <c r="I24" s="67" t="s">
        <v>211</v>
      </c>
      <c r="J24" s="67" t="s">
        <v>217</v>
      </c>
      <c r="K24" s="67" t="s">
        <v>217</v>
      </c>
      <c r="L24" s="69" t="s">
        <v>217</v>
      </c>
      <c r="M24" s="69">
        <f>VLOOKUP(F24, 'Pay Structure'!$A$1:$D$12, 2, FALSE)</f>
        <v>38890.353157707017</v>
      </c>
      <c r="N24" s="69">
        <v>0</v>
      </c>
      <c r="O24" s="76"/>
    </row>
    <row r="25" spans="1:19" ht="29" x14ac:dyDescent="0.35">
      <c r="A25" s="46" t="s">
        <v>16</v>
      </c>
      <c r="B25" s="46" t="s">
        <v>15</v>
      </c>
      <c r="C25" s="46" t="s">
        <v>78</v>
      </c>
      <c r="D25" s="47">
        <v>55233</v>
      </c>
      <c r="E25" s="47">
        <f>VLOOKUP(A25, Data!$A$2:$Z$46, 23, FALSE)</f>
        <v>365</v>
      </c>
      <c r="F25" s="46">
        <f>VLOOKUP(A25, Data!$A$2:$Z$46, 24, FALSE)</f>
        <v>6</v>
      </c>
      <c r="G25" s="46">
        <v>1</v>
      </c>
      <c r="H25" s="46" t="s">
        <v>207</v>
      </c>
      <c r="I25" s="46" t="s">
        <v>78</v>
      </c>
      <c r="J25" s="46" t="s">
        <v>216</v>
      </c>
      <c r="K25" s="47">
        <f>D28</f>
        <v>51082</v>
      </c>
      <c r="L25" s="71">
        <f t="shared" si="0"/>
        <v>0</v>
      </c>
      <c r="M25" s="71">
        <f>VLOOKUP(F25, 'Pay Structure'!$A$1:$D$12, 2, FALSE)</f>
        <v>43168.292005054798</v>
      </c>
      <c r="N25" s="69">
        <f t="shared" si="1"/>
        <v>0</v>
      </c>
      <c r="O25" s="50" t="s">
        <v>200</v>
      </c>
      <c r="P25" s="67"/>
      <c r="R25" s="67"/>
      <c r="S25" s="67"/>
    </row>
    <row r="26" spans="1:19" x14ac:dyDescent="0.35">
      <c r="A26" s="46" t="s">
        <v>52</v>
      </c>
      <c r="B26" s="46" t="s">
        <v>13</v>
      </c>
      <c r="C26" s="46" t="s">
        <v>187</v>
      </c>
      <c r="D26" s="47">
        <v>59000</v>
      </c>
      <c r="E26" s="47">
        <f>VLOOKUP(A26, Data!$A$2:$Z$46, 23, FALSE)</f>
        <v>375</v>
      </c>
      <c r="F26" s="46">
        <f>VLOOKUP(A26, Data!$A$2:$Z$46, 24, FALSE)</f>
        <v>6</v>
      </c>
      <c r="G26" s="46">
        <v>2</v>
      </c>
      <c r="H26" s="46" t="s">
        <v>209</v>
      </c>
      <c r="I26" s="46" t="s">
        <v>187</v>
      </c>
      <c r="J26" s="46" t="s">
        <v>217</v>
      </c>
      <c r="K26" s="46" t="s">
        <v>217</v>
      </c>
      <c r="L26" s="71" t="s">
        <v>217</v>
      </c>
      <c r="M26" s="71">
        <f>VLOOKUP(F26, 'Pay Structure'!$A$1:$D$12, 2, FALSE)</f>
        <v>43168.292005054798</v>
      </c>
      <c r="N26" s="69">
        <v>0</v>
      </c>
      <c r="O26" s="50" t="s">
        <v>197</v>
      </c>
      <c r="P26" s="67"/>
      <c r="R26" s="67"/>
      <c r="S26" s="67"/>
    </row>
    <row r="27" spans="1:19" ht="29" x14ac:dyDescent="0.35">
      <c r="A27" s="46" t="s">
        <v>55</v>
      </c>
      <c r="B27" s="46" t="s">
        <v>15</v>
      </c>
      <c r="C27" s="46" t="s">
        <v>78</v>
      </c>
      <c r="D27" s="47">
        <v>67040</v>
      </c>
      <c r="E27" s="47">
        <f>VLOOKUP(A27, Data!$A$2:$Z$46, 23, FALSE)</f>
        <v>395</v>
      </c>
      <c r="F27" s="46">
        <f>VLOOKUP(A27, Data!$A$2:$Z$46, 24, FALSE)</f>
        <v>6</v>
      </c>
      <c r="G27" s="46">
        <v>3</v>
      </c>
      <c r="H27" s="46" t="s">
        <v>207</v>
      </c>
      <c r="I27" s="46" t="s">
        <v>78</v>
      </c>
      <c r="J27" s="46" t="s">
        <v>216</v>
      </c>
      <c r="K27" s="47">
        <f>D28</f>
        <v>51082</v>
      </c>
      <c r="L27" s="71">
        <f t="shared" si="0"/>
        <v>0</v>
      </c>
      <c r="M27" s="71">
        <f>VLOOKUP(F27, 'Pay Structure'!$A$1:$D$12, 2, FALSE)</f>
        <v>43168.292005054798</v>
      </c>
      <c r="N27" s="69">
        <f t="shared" si="1"/>
        <v>0</v>
      </c>
      <c r="O27" s="50" t="s">
        <v>200</v>
      </c>
      <c r="P27" s="67"/>
      <c r="R27" s="67"/>
      <c r="S27" s="67"/>
    </row>
    <row r="28" spans="1:19" s="67" customFormat="1" x14ac:dyDescent="0.35">
      <c r="A28" s="67" t="s">
        <v>39</v>
      </c>
      <c r="B28" s="67" t="s">
        <v>20</v>
      </c>
      <c r="C28" s="67" t="s">
        <v>187</v>
      </c>
      <c r="D28" s="68">
        <v>51082</v>
      </c>
      <c r="E28" s="68">
        <f>VLOOKUP(A28, Data!$A$2:$Z$46, 23, FALSE)</f>
        <v>410</v>
      </c>
      <c r="F28" s="67">
        <f>VLOOKUP(A28, Data!$A$2:$Z$46, 24, FALSE)</f>
        <v>6</v>
      </c>
      <c r="G28" s="67">
        <v>4</v>
      </c>
      <c r="H28" s="67" t="s">
        <v>209</v>
      </c>
      <c r="I28" s="67" t="s">
        <v>187</v>
      </c>
      <c r="J28" s="67" t="s">
        <v>217</v>
      </c>
      <c r="K28" s="67" t="s">
        <v>217</v>
      </c>
      <c r="L28" s="69" t="s">
        <v>217</v>
      </c>
      <c r="M28" s="69">
        <f>VLOOKUP(F28, 'Pay Structure'!$A$1:$D$12, 2, FALSE)</f>
        <v>43168.292005054798</v>
      </c>
      <c r="N28" s="69">
        <v>0</v>
      </c>
      <c r="O28" s="70" t="s">
        <v>197</v>
      </c>
    </row>
    <row r="29" spans="1:19" x14ac:dyDescent="0.35">
      <c r="A29" s="46" t="s">
        <v>190</v>
      </c>
      <c r="B29" s="46" t="s">
        <v>27</v>
      </c>
      <c r="C29" s="46" t="s">
        <v>188</v>
      </c>
      <c r="D29" s="47">
        <v>64755</v>
      </c>
      <c r="E29" s="47">
        <f>VLOOKUP(A29, Data!$A$2:$Z$46, 23, FALSE)</f>
        <v>425</v>
      </c>
      <c r="F29" s="46">
        <f>VLOOKUP(A29, Data!$A$2:$Z$46, 24, FALSE)</f>
        <v>7</v>
      </c>
      <c r="G29" s="46">
        <v>1</v>
      </c>
      <c r="H29" s="46" t="s">
        <v>209</v>
      </c>
      <c r="I29" s="46" t="s">
        <v>187</v>
      </c>
      <c r="J29" s="46" t="s">
        <v>217</v>
      </c>
      <c r="K29" s="46" t="s">
        <v>217</v>
      </c>
      <c r="L29" s="71" t="s">
        <v>217</v>
      </c>
      <c r="M29" s="71">
        <f>VLOOKUP(F29, 'Pay Structure'!$A$1:$D$12, 2, FALSE)</f>
        <v>44463.340765206434</v>
      </c>
      <c r="N29" s="69">
        <v>0</v>
      </c>
      <c r="O29" s="50" t="s">
        <v>197</v>
      </c>
      <c r="P29" s="67"/>
      <c r="R29" s="67"/>
      <c r="S29" s="67"/>
    </row>
    <row r="30" spans="1:19" s="67" customFormat="1" x14ac:dyDescent="0.35">
      <c r="A30" s="67" t="s">
        <v>14</v>
      </c>
      <c r="B30" s="67" t="s">
        <v>15</v>
      </c>
      <c r="C30" s="67" t="s">
        <v>78</v>
      </c>
      <c r="D30" s="68">
        <v>47375</v>
      </c>
      <c r="E30" s="68">
        <f>VLOOKUP(A30, Data!$A$2:$Z$46, 23, FALSE)</f>
        <v>465</v>
      </c>
      <c r="F30" s="67">
        <f>VLOOKUP(A30, Data!$A$2:$Z$46, 24, FALSE)</f>
        <v>7</v>
      </c>
      <c r="G30" s="67">
        <v>2</v>
      </c>
      <c r="H30" s="67" t="s">
        <v>207</v>
      </c>
      <c r="I30" s="67" t="s">
        <v>78</v>
      </c>
      <c r="J30" s="67" t="s">
        <v>216</v>
      </c>
      <c r="K30" s="68">
        <f>D29</f>
        <v>64755</v>
      </c>
      <c r="L30" s="69">
        <f t="shared" si="0"/>
        <v>17380</v>
      </c>
      <c r="M30" s="69">
        <f>VLOOKUP(F30, 'Pay Structure'!$A$1:$D$12, 2, FALSE)</f>
        <v>44463.340765206434</v>
      </c>
      <c r="N30" s="69">
        <f t="shared" si="1"/>
        <v>17380</v>
      </c>
      <c r="O30" s="70" t="s">
        <v>197</v>
      </c>
    </row>
    <row r="31" spans="1:19" ht="29" x14ac:dyDescent="0.35">
      <c r="A31" s="46" t="s">
        <v>8</v>
      </c>
      <c r="B31" s="46" t="s">
        <v>6</v>
      </c>
      <c r="C31" s="46" t="s">
        <v>78</v>
      </c>
      <c r="D31" s="47">
        <v>53042</v>
      </c>
      <c r="E31" s="47">
        <f>VLOOKUP(A31, Data!$A$2:$Z$46, 23, FALSE)</f>
        <v>525</v>
      </c>
      <c r="F31" s="46">
        <f>VLOOKUP(A31, Data!$A$2:$Z$46, 24, FALSE)</f>
        <v>8</v>
      </c>
      <c r="G31" s="46">
        <v>1</v>
      </c>
      <c r="H31" s="46" t="s">
        <v>207</v>
      </c>
      <c r="I31" s="46" t="s">
        <v>78</v>
      </c>
      <c r="J31" s="46" t="s">
        <v>216</v>
      </c>
      <c r="K31" s="47">
        <f>D34</f>
        <v>69733</v>
      </c>
      <c r="L31" s="71">
        <f t="shared" si="0"/>
        <v>16691</v>
      </c>
      <c r="M31" s="71">
        <f>VLOOKUP(F31, 'Pay Structure'!$A$1:$D$12, 2, FALSE)</f>
        <v>49354.308249379152</v>
      </c>
      <c r="N31" s="69">
        <f t="shared" si="1"/>
        <v>16691</v>
      </c>
      <c r="O31" s="50" t="s">
        <v>200</v>
      </c>
      <c r="P31" s="67"/>
      <c r="R31" s="67"/>
      <c r="S31" s="67"/>
    </row>
    <row r="32" spans="1:19" ht="29" x14ac:dyDescent="0.35">
      <c r="A32" s="46" t="s">
        <v>47</v>
      </c>
      <c r="B32" s="46" t="s">
        <v>6</v>
      </c>
      <c r="C32" s="46" t="s">
        <v>78</v>
      </c>
      <c r="D32" s="47">
        <v>72180</v>
      </c>
      <c r="E32" s="47">
        <f>VLOOKUP(A32, Data!$A$2:$Z$46, 23, FALSE)</f>
        <v>525</v>
      </c>
      <c r="F32" s="46">
        <f>VLOOKUP(A32, Data!$A$2:$Z$46, 24, FALSE)</f>
        <v>8</v>
      </c>
      <c r="G32" s="46">
        <v>2</v>
      </c>
      <c r="H32" s="46" t="s">
        <v>207</v>
      </c>
      <c r="I32" s="46" t="s">
        <v>78</v>
      </c>
      <c r="J32" s="46" t="s">
        <v>216</v>
      </c>
      <c r="K32" s="47">
        <f>D34</f>
        <v>69733</v>
      </c>
      <c r="L32" s="71">
        <f t="shared" si="0"/>
        <v>0</v>
      </c>
      <c r="M32" s="71">
        <f>VLOOKUP(F32, 'Pay Structure'!$A$1:$D$12, 2, FALSE)</f>
        <v>49354.308249379152</v>
      </c>
      <c r="N32" s="69">
        <f t="shared" si="1"/>
        <v>0</v>
      </c>
      <c r="O32" s="50" t="s">
        <v>200</v>
      </c>
      <c r="P32" s="67"/>
      <c r="R32" s="67"/>
      <c r="S32" s="67"/>
    </row>
    <row r="33" spans="1:19" x14ac:dyDescent="0.35">
      <c r="A33" s="46" t="s">
        <v>18</v>
      </c>
      <c r="B33" s="46" t="s">
        <v>15</v>
      </c>
      <c r="C33" s="46" t="s">
        <v>187</v>
      </c>
      <c r="D33" s="47">
        <v>83828</v>
      </c>
      <c r="E33" s="47">
        <f>VLOOKUP(A33, Data!$A$2:$Z$46, 23, FALSE)</f>
        <v>545</v>
      </c>
      <c r="F33" s="46">
        <f>VLOOKUP(A33, Data!$A$2:$Z$46, 24, FALSE)</f>
        <v>8</v>
      </c>
      <c r="G33" s="46">
        <v>3</v>
      </c>
      <c r="H33" s="46" t="s">
        <v>209</v>
      </c>
      <c r="I33" s="46" t="s">
        <v>187</v>
      </c>
      <c r="J33" s="46" t="s">
        <v>217</v>
      </c>
      <c r="K33" s="46" t="s">
        <v>217</v>
      </c>
      <c r="L33" s="71" t="s">
        <v>217</v>
      </c>
      <c r="M33" s="71">
        <f>VLOOKUP(F33, 'Pay Structure'!$A$1:$D$12, 2, FALSE)</f>
        <v>49354.308249379152</v>
      </c>
      <c r="N33" s="69">
        <v>0</v>
      </c>
      <c r="O33" s="50" t="s">
        <v>203</v>
      </c>
      <c r="P33" s="67"/>
      <c r="R33" s="67"/>
      <c r="S33" s="67"/>
    </row>
    <row r="34" spans="1:19" x14ac:dyDescent="0.35">
      <c r="A34" s="46" t="s">
        <v>44</v>
      </c>
      <c r="B34" s="46" t="s">
        <v>20</v>
      </c>
      <c r="C34" s="46" t="s">
        <v>187</v>
      </c>
      <c r="D34" s="47">
        <v>69733</v>
      </c>
      <c r="E34" s="47">
        <f>VLOOKUP(A34, Data!$A$2:$Z$46, 23, FALSE)</f>
        <v>565</v>
      </c>
      <c r="F34" s="46">
        <f>VLOOKUP(A34, Data!$A$2:$Z$46, 24, FALSE)</f>
        <v>8</v>
      </c>
      <c r="G34" s="46">
        <v>4</v>
      </c>
      <c r="H34" s="46" t="s">
        <v>209</v>
      </c>
      <c r="I34" s="46" t="s">
        <v>187</v>
      </c>
      <c r="J34" s="46" t="s">
        <v>217</v>
      </c>
      <c r="K34" s="46" t="s">
        <v>217</v>
      </c>
      <c r="L34" s="71" t="s">
        <v>217</v>
      </c>
      <c r="M34" s="71">
        <f>VLOOKUP(F34, 'Pay Structure'!$A$1:$D$12, 2, FALSE)</f>
        <v>49354.308249379152</v>
      </c>
      <c r="N34" s="69">
        <v>0</v>
      </c>
      <c r="O34" s="50" t="s">
        <v>197</v>
      </c>
      <c r="P34" s="67"/>
      <c r="R34" s="67"/>
      <c r="S34" s="67"/>
    </row>
    <row r="35" spans="1:19" s="67" customFormat="1" x14ac:dyDescent="0.35">
      <c r="A35" s="67" t="s">
        <v>17</v>
      </c>
      <c r="B35" s="67" t="s">
        <v>15</v>
      </c>
      <c r="C35" s="67" t="s">
        <v>78</v>
      </c>
      <c r="D35" s="68">
        <v>81247</v>
      </c>
      <c r="E35" s="68">
        <f>VLOOKUP(A35, Data!$A$2:$Z$46, 23, FALSE)</f>
        <v>565</v>
      </c>
      <c r="F35" s="67">
        <f>VLOOKUP(A35, Data!$A$2:$Z$46, 24, FALSE)</f>
        <v>8</v>
      </c>
      <c r="G35" s="67">
        <v>5</v>
      </c>
      <c r="H35" s="67" t="s">
        <v>207</v>
      </c>
      <c r="I35" s="67" t="s">
        <v>78</v>
      </c>
      <c r="J35" s="67" t="s">
        <v>216</v>
      </c>
      <c r="K35" s="68">
        <f>D34</f>
        <v>69733</v>
      </c>
      <c r="L35" s="69">
        <f t="shared" si="0"/>
        <v>0</v>
      </c>
      <c r="M35" s="69">
        <f>VLOOKUP(F35, 'Pay Structure'!$A$1:$D$12, 2, FALSE)</f>
        <v>49354.308249379152</v>
      </c>
      <c r="N35" s="69">
        <f t="shared" si="1"/>
        <v>0</v>
      </c>
      <c r="O35" s="70" t="s">
        <v>203</v>
      </c>
    </row>
    <row r="36" spans="1:19" x14ac:dyDescent="0.35">
      <c r="A36" s="46" t="s">
        <v>49</v>
      </c>
      <c r="B36" s="46" t="s">
        <v>12</v>
      </c>
      <c r="C36" s="46" t="s">
        <v>78</v>
      </c>
      <c r="D36" s="47">
        <v>71707</v>
      </c>
      <c r="E36" s="47">
        <f>VLOOKUP(A36, Data!$A$2:$Z$46, 23, FALSE)</f>
        <v>650</v>
      </c>
      <c r="F36" s="46">
        <f>VLOOKUP(A36, Data!$A$2:$Z$46, 24, FALSE)</f>
        <v>9</v>
      </c>
      <c r="G36" s="46">
        <v>1</v>
      </c>
      <c r="H36" s="46" t="s">
        <v>207</v>
      </c>
      <c r="I36" s="46" t="s">
        <v>78</v>
      </c>
      <c r="J36" s="46" t="s">
        <v>216</v>
      </c>
      <c r="K36" s="47">
        <f>D41</f>
        <v>83860</v>
      </c>
      <c r="L36" s="71">
        <f t="shared" si="0"/>
        <v>12153</v>
      </c>
      <c r="M36" s="71">
        <f>VLOOKUP(F36, 'Pay Structure'!$A$1:$D$12, 2, FALSE)</f>
        <v>56757.454486786017</v>
      </c>
      <c r="N36" s="69">
        <f t="shared" si="1"/>
        <v>12153</v>
      </c>
      <c r="O36" s="50" t="s">
        <v>197</v>
      </c>
      <c r="P36" s="67"/>
      <c r="R36" s="67"/>
      <c r="S36" s="67"/>
    </row>
    <row r="37" spans="1:19" x14ac:dyDescent="0.35">
      <c r="A37" s="46" t="s">
        <v>29</v>
      </c>
      <c r="B37" s="46" t="s">
        <v>27</v>
      </c>
      <c r="C37" s="46" t="s">
        <v>188</v>
      </c>
      <c r="D37" s="47">
        <v>84980</v>
      </c>
      <c r="E37" s="47">
        <f>VLOOKUP(A37, Data!$A$2:$Z$46, 23, FALSE)</f>
        <v>655</v>
      </c>
      <c r="F37" s="46">
        <f>VLOOKUP(A37, Data!$A$2:$Z$46, 24, FALSE)</f>
        <v>9</v>
      </c>
      <c r="G37" s="46">
        <v>2</v>
      </c>
      <c r="H37" s="75" t="s">
        <v>212</v>
      </c>
      <c r="I37" s="46" t="s">
        <v>211</v>
      </c>
      <c r="J37" s="46" t="s">
        <v>217</v>
      </c>
      <c r="K37" s="46" t="s">
        <v>217</v>
      </c>
      <c r="L37" s="71" t="s">
        <v>217</v>
      </c>
      <c r="M37" s="71">
        <f>VLOOKUP(F37, 'Pay Structure'!$A$1:$D$12, 2, FALSE)</f>
        <v>56757.454486786017</v>
      </c>
      <c r="N37" s="69">
        <v>0</v>
      </c>
      <c r="O37" s="75" t="s">
        <v>199</v>
      </c>
      <c r="P37" s="67"/>
      <c r="R37" s="67"/>
      <c r="S37" s="67"/>
    </row>
    <row r="38" spans="1:19" x14ac:dyDescent="0.35">
      <c r="A38" s="46" t="s">
        <v>28</v>
      </c>
      <c r="B38" s="46" t="s">
        <v>27</v>
      </c>
      <c r="C38" s="46" t="s">
        <v>189</v>
      </c>
      <c r="D38" s="47">
        <v>70000</v>
      </c>
      <c r="E38" s="47">
        <f>VLOOKUP(A38, Data!$A$2:$Z$46, 23, FALSE)</f>
        <v>655</v>
      </c>
      <c r="F38" s="46">
        <f>VLOOKUP(A38, Data!$A$2:$Z$46, 24, FALSE)</f>
        <v>9</v>
      </c>
      <c r="G38" s="46">
        <v>2</v>
      </c>
      <c r="H38" s="75"/>
      <c r="I38" s="46" t="s">
        <v>211</v>
      </c>
      <c r="J38" s="46" t="s">
        <v>217</v>
      </c>
      <c r="K38" s="46" t="s">
        <v>217</v>
      </c>
      <c r="L38" s="71" t="s">
        <v>217</v>
      </c>
      <c r="M38" s="71">
        <f>VLOOKUP(F38, 'Pay Structure'!$A$1:$D$12, 2, FALSE)</f>
        <v>56757.454486786017</v>
      </c>
      <c r="N38" s="69">
        <v>0</v>
      </c>
      <c r="O38" s="75"/>
      <c r="P38" s="67"/>
      <c r="R38" s="67"/>
      <c r="S38" s="67"/>
    </row>
    <row r="39" spans="1:19" x14ac:dyDescent="0.35">
      <c r="A39" s="46" t="s">
        <v>41</v>
      </c>
      <c r="B39" s="46" t="s">
        <v>20</v>
      </c>
      <c r="C39" s="46" t="s">
        <v>78</v>
      </c>
      <c r="D39" s="47">
        <v>95151</v>
      </c>
      <c r="E39" s="47">
        <f>VLOOKUP(A39, Data!$A$2:$Z$46, 23, FALSE)</f>
        <v>670</v>
      </c>
      <c r="F39" s="46">
        <f>VLOOKUP(A39, Data!$A$2:$Z$46, 24, FALSE)</f>
        <v>9</v>
      </c>
      <c r="G39" s="46">
        <v>3</v>
      </c>
      <c r="H39" s="46" t="s">
        <v>207</v>
      </c>
      <c r="I39" s="46" t="s">
        <v>78</v>
      </c>
      <c r="J39" s="46" t="s">
        <v>216</v>
      </c>
      <c r="K39" s="47">
        <f>D41</f>
        <v>83860</v>
      </c>
      <c r="L39" s="71">
        <f t="shared" si="0"/>
        <v>0</v>
      </c>
      <c r="M39" s="71">
        <f>VLOOKUP(F39, 'Pay Structure'!$A$1:$D$12, 2, FALSE)</f>
        <v>56757.454486786017</v>
      </c>
      <c r="N39" s="69">
        <f t="shared" si="1"/>
        <v>0</v>
      </c>
      <c r="O39" s="50" t="s">
        <v>197</v>
      </c>
      <c r="P39" s="67"/>
      <c r="R39" s="67"/>
      <c r="S39" s="67"/>
    </row>
    <row r="40" spans="1:19" x14ac:dyDescent="0.35">
      <c r="A40" s="46" t="s">
        <v>54</v>
      </c>
      <c r="B40" s="46" t="s">
        <v>13</v>
      </c>
      <c r="C40" s="46" t="s">
        <v>187</v>
      </c>
      <c r="D40" s="47">
        <v>101981</v>
      </c>
      <c r="E40" s="47">
        <f>VLOOKUP(A40, Data!$A$2:$Z$46, 23, FALSE)</f>
        <v>685</v>
      </c>
      <c r="F40" s="46">
        <f>VLOOKUP(A40, Data!$A$2:$Z$46, 24, FALSE)</f>
        <v>9</v>
      </c>
      <c r="G40" s="46">
        <v>4</v>
      </c>
      <c r="H40" s="46" t="s">
        <v>209</v>
      </c>
      <c r="I40" s="46" t="s">
        <v>187</v>
      </c>
      <c r="J40" s="46" t="s">
        <v>217</v>
      </c>
      <c r="K40" s="46" t="s">
        <v>217</v>
      </c>
      <c r="L40" s="71" t="s">
        <v>217</v>
      </c>
      <c r="M40" s="71">
        <f>VLOOKUP(F40, 'Pay Structure'!$A$1:$D$12, 2, FALSE)</f>
        <v>56757.454486786017</v>
      </c>
      <c r="N40" s="69">
        <v>0</v>
      </c>
      <c r="O40" s="50" t="s">
        <v>197</v>
      </c>
      <c r="P40" s="67"/>
      <c r="R40" s="67"/>
      <c r="S40" s="67"/>
    </row>
    <row r="41" spans="1:19" s="67" customFormat="1" x14ac:dyDescent="0.35">
      <c r="A41" s="67" t="s">
        <v>9</v>
      </c>
      <c r="B41" s="67" t="s">
        <v>6</v>
      </c>
      <c r="C41" s="67" t="s">
        <v>187</v>
      </c>
      <c r="D41" s="68">
        <v>83860</v>
      </c>
      <c r="E41" s="68">
        <f>VLOOKUP(A41, Data!$A$2:$Z$46, 23, FALSE)</f>
        <v>760</v>
      </c>
      <c r="F41" s="67">
        <f>VLOOKUP(A41, Data!$A$2:$Z$46, 24, FALSE)</f>
        <v>9</v>
      </c>
      <c r="G41" s="67">
        <v>5</v>
      </c>
      <c r="H41" s="67" t="s">
        <v>209</v>
      </c>
      <c r="I41" s="67" t="s">
        <v>187</v>
      </c>
      <c r="J41" s="67" t="s">
        <v>217</v>
      </c>
      <c r="K41" s="67" t="s">
        <v>217</v>
      </c>
      <c r="L41" s="69" t="s">
        <v>217</v>
      </c>
      <c r="M41" s="69">
        <f>VLOOKUP(F41, 'Pay Structure'!$A$1:$D$12, 2, FALSE)</f>
        <v>56757.454486786017</v>
      </c>
      <c r="N41" s="69">
        <v>0</v>
      </c>
      <c r="O41" s="70" t="s">
        <v>197</v>
      </c>
    </row>
    <row r="42" spans="1:19" x14ac:dyDescent="0.35">
      <c r="A42" s="46" t="s">
        <v>24</v>
      </c>
      <c r="B42" s="46" t="s">
        <v>27</v>
      </c>
      <c r="C42" s="46" t="s">
        <v>78</v>
      </c>
      <c r="D42" s="47">
        <v>114302</v>
      </c>
      <c r="E42" s="47">
        <f>VLOOKUP(A42, Data!$A$2:$Z$46, 23, FALSE)</f>
        <v>810</v>
      </c>
      <c r="F42" s="46">
        <f>VLOOKUP(A42, Data!$A$2:$Z$46, 24, FALSE)</f>
        <v>10</v>
      </c>
      <c r="G42" s="46">
        <v>1</v>
      </c>
      <c r="H42" s="46" t="s">
        <v>207</v>
      </c>
      <c r="I42" s="46" t="s">
        <v>78</v>
      </c>
      <c r="J42" s="46" t="s">
        <v>215</v>
      </c>
      <c r="K42" s="71">
        <f>'PV Regression Results'!$B$17+'PV Regression Results'!$B$18*'Pay Equity'!E42</f>
        <v>120936.425483571</v>
      </c>
      <c r="L42" s="71">
        <f t="shared" si="0"/>
        <v>6634.4254835710017</v>
      </c>
      <c r="M42" s="71">
        <f>VLOOKUP(F42, 'Pay Structure'!$A$1:$D$12, 2, FALSE)</f>
        <v>65271.072659803911</v>
      </c>
      <c r="N42" s="69">
        <f t="shared" si="1"/>
        <v>6634.4254835710017</v>
      </c>
      <c r="O42" s="50" t="s">
        <v>197</v>
      </c>
      <c r="P42" s="67"/>
      <c r="R42" s="67"/>
      <c r="S42" s="67"/>
    </row>
    <row r="43" spans="1:19" x14ac:dyDescent="0.35">
      <c r="A43" s="46" t="s">
        <v>19</v>
      </c>
      <c r="B43" s="46" t="s">
        <v>15</v>
      </c>
      <c r="C43" s="46" t="s">
        <v>78</v>
      </c>
      <c r="D43" s="47">
        <v>118571</v>
      </c>
      <c r="E43" s="47">
        <f>VLOOKUP(A43, Data!$A$2:$Z$46, 23, FALSE)</f>
        <v>820</v>
      </c>
      <c r="F43" s="46">
        <f>VLOOKUP(A43, Data!$A$2:$Z$46, 24, FALSE)</f>
        <v>10</v>
      </c>
      <c r="G43" s="46">
        <v>2</v>
      </c>
      <c r="H43" s="46" t="s">
        <v>207</v>
      </c>
      <c r="I43" s="46" t="s">
        <v>78</v>
      </c>
      <c r="J43" s="46" t="s">
        <v>215</v>
      </c>
      <c r="K43" s="71">
        <f>'PV Regression Results'!$B$17+'PV Regression Results'!$B$18*'Pay Equity'!E43</f>
        <v>122414.49398507946</v>
      </c>
      <c r="L43" s="71">
        <f t="shared" si="0"/>
        <v>3843.4939850794617</v>
      </c>
      <c r="M43" s="71">
        <f>VLOOKUP(F43, 'Pay Structure'!$A$1:$D$12, 2, FALSE)</f>
        <v>65271.072659803911</v>
      </c>
      <c r="N43" s="69">
        <f t="shared" si="1"/>
        <v>3843.4939850794617</v>
      </c>
      <c r="O43" s="50" t="s">
        <v>197</v>
      </c>
      <c r="P43" s="67"/>
      <c r="R43" s="67"/>
      <c r="S43" s="67"/>
    </row>
    <row r="44" spans="1:19" s="67" customFormat="1" x14ac:dyDescent="0.35">
      <c r="A44" s="67" t="s">
        <v>22</v>
      </c>
      <c r="B44" s="67" t="s">
        <v>20</v>
      </c>
      <c r="C44" s="67" t="s">
        <v>78</v>
      </c>
      <c r="D44" s="68">
        <v>126947</v>
      </c>
      <c r="E44" s="68">
        <f>VLOOKUP(A44, Data!$A$2:$Z$46, 23, FALSE)</f>
        <v>835</v>
      </c>
      <c r="F44" s="67">
        <f>VLOOKUP(A44, Data!$A$2:$Z$46, 24, FALSE)</f>
        <v>10</v>
      </c>
      <c r="G44" s="67">
        <v>3</v>
      </c>
      <c r="H44" s="67" t="s">
        <v>207</v>
      </c>
      <c r="I44" s="67" t="s">
        <v>78</v>
      </c>
      <c r="J44" s="67" t="s">
        <v>215</v>
      </c>
      <c r="K44" s="69">
        <f>'PV Regression Results'!$B$17+'PV Regression Results'!$B$18*'Pay Equity'!E44</f>
        <v>124631.59673734216</v>
      </c>
      <c r="L44" s="69">
        <f t="shared" si="0"/>
        <v>0</v>
      </c>
      <c r="M44" s="69">
        <f>VLOOKUP(F44, 'Pay Structure'!$A$1:$D$12, 2, FALSE)</f>
        <v>65271.072659803911</v>
      </c>
      <c r="N44" s="69">
        <f t="shared" si="1"/>
        <v>0</v>
      </c>
      <c r="O44" s="70" t="s">
        <v>197</v>
      </c>
    </row>
    <row r="45" spans="1:19" x14ac:dyDescent="0.35">
      <c r="A45" s="46" t="s">
        <v>50</v>
      </c>
      <c r="B45" s="46" t="s">
        <v>12</v>
      </c>
      <c r="C45" s="46" t="s">
        <v>187</v>
      </c>
      <c r="D45" s="47">
        <v>171619</v>
      </c>
      <c r="E45" s="47">
        <f>VLOOKUP(A45, Data!$A$2:$Z$46, 23, FALSE)</f>
        <v>985</v>
      </c>
      <c r="F45" s="46">
        <f>VLOOKUP(A45, Data!$A$2:$Z$46, 24, FALSE)</f>
        <v>11</v>
      </c>
      <c r="G45" s="46">
        <v>1</v>
      </c>
      <c r="H45" s="46" t="s">
        <v>209</v>
      </c>
      <c r="I45" s="46" t="s">
        <v>187</v>
      </c>
      <c r="J45" s="46" t="s">
        <v>217</v>
      </c>
      <c r="K45" s="46" t="s">
        <v>217</v>
      </c>
      <c r="L45" s="71" t="s">
        <v>217</v>
      </c>
      <c r="M45" s="71">
        <f>VLOOKUP(F45, 'Pay Structure'!$A$1:$D$12, 2, FALSE)</f>
        <v>57739.795045211147</v>
      </c>
      <c r="N45" s="69">
        <v>0</v>
      </c>
      <c r="O45" s="50" t="s">
        <v>204</v>
      </c>
      <c r="P45" s="67"/>
      <c r="R45" s="67"/>
      <c r="S45" s="67"/>
    </row>
  </sheetData>
  <sortState xmlns:xlrd2="http://schemas.microsoft.com/office/spreadsheetml/2017/richdata2" ref="X2:AA45">
    <sortCondition ref="Z2:Z45"/>
  </sortState>
  <mergeCells count="8">
    <mergeCell ref="O4:O5"/>
    <mergeCell ref="O7:O9"/>
    <mergeCell ref="O22:O24"/>
    <mergeCell ref="O37:O38"/>
    <mergeCell ref="H4:H5"/>
    <mergeCell ref="H7:H9"/>
    <mergeCell ref="H22:H24"/>
    <mergeCell ref="H37:H38"/>
  </mergeCells>
  <conditionalFormatting sqref="T2:W45">
    <cfRule type="cellIs" dxfId="2" priority="2" operator="equal">
      <formula>TRUE</formula>
    </cfRule>
  </conditionalFormatting>
  <pageMargins left="0.70000000000000007" right="0.70000000000000007" top="0.75000000000000011" bottom="0.75000000000000011" header="0.30000000000000004" footer="0.30000000000000004"/>
  <pageSetup scale="97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8A94-0193-419F-9FC2-0503A6A209E8}">
  <dimension ref="A1:I18"/>
  <sheetViews>
    <sheetView workbookViewId="0">
      <selection activeCell="C20" sqref="C20"/>
    </sheetView>
  </sheetViews>
  <sheetFormatPr defaultRowHeight="13.5" x14ac:dyDescent="0.3"/>
  <sheetData>
    <row r="1" spans="1:9" x14ac:dyDescent="0.3">
      <c r="A1" t="s">
        <v>63</v>
      </c>
    </row>
    <row r="2" spans="1:9" ht="14" thickBot="1" x14ac:dyDescent="0.35"/>
    <row r="3" spans="1:9" x14ac:dyDescent="0.3">
      <c r="A3" s="8" t="s">
        <v>64</v>
      </c>
      <c r="B3" s="8"/>
    </row>
    <row r="4" spans="1:9" x14ac:dyDescent="0.3">
      <c r="A4" t="s">
        <v>65</v>
      </c>
      <c r="B4">
        <v>0.89326371447702158</v>
      </c>
    </row>
    <row r="5" spans="1:9" x14ac:dyDescent="0.3">
      <c r="A5" t="s">
        <v>66</v>
      </c>
      <c r="B5">
        <v>0.79792006360128598</v>
      </c>
    </row>
    <row r="6" spans="1:9" x14ac:dyDescent="0.3">
      <c r="A6" t="s">
        <v>67</v>
      </c>
      <c r="B6">
        <v>0.77771206996141462</v>
      </c>
    </row>
    <row r="7" spans="1:9" x14ac:dyDescent="0.3">
      <c r="A7" t="s">
        <v>68</v>
      </c>
      <c r="B7">
        <v>16551.333195344832</v>
      </c>
    </row>
    <row r="8" spans="1:9" ht="14" thickBot="1" x14ac:dyDescent="0.35">
      <c r="A8" s="6" t="s">
        <v>69</v>
      </c>
      <c r="B8" s="6">
        <v>12</v>
      </c>
    </row>
    <row r="10" spans="1:9" ht="14" thickBot="1" x14ac:dyDescent="0.35">
      <c r="A10" t="s">
        <v>70</v>
      </c>
    </row>
    <row r="11" spans="1:9" x14ac:dyDescent="0.3">
      <c r="A11" s="7"/>
      <c r="B11" s="7" t="s">
        <v>75</v>
      </c>
      <c r="C11" s="7" t="s">
        <v>76</v>
      </c>
      <c r="D11" s="7" t="s">
        <v>77</v>
      </c>
      <c r="E11" s="7" t="s">
        <v>78</v>
      </c>
      <c r="F11" s="7" t="s">
        <v>79</v>
      </c>
    </row>
    <row r="12" spans="1:9" x14ac:dyDescent="0.3">
      <c r="A12" t="s">
        <v>71</v>
      </c>
      <c r="B12">
        <v>1</v>
      </c>
      <c r="C12">
        <v>10816883494.816761</v>
      </c>
      <c r="D12">
        <v>10816883494.816761</v>
      </c>
      <c r="E12">
        <v>39.485367910397073</v>
      </c>
      <c r="F12">
        <v>9.0979653255620873E-5</v>
      </c>
    </row>
    <row r="13" spans="1:9" x14ac:dyDescent="0.3">
      <c r="A13" t="s">
        <v>72</v>
      </c>
      <c r="B13">
        <v>10</v>
      </c>
      <c r="C13">
        <v>2739466305.433238</v>
      </c>
      <c r="D13">
        <v>273946630.54332381</v>
      </c>
    </row>
    <row r="14" spans="1:9" ht="14" thickBot="1" x14ac:dyDescent="0.35">
      <c r="A14" s="6" t="s">
        <v>73</v>
      </c>
      <c r="B14" s="6">
        <v>11</v>
      </c>
      <c r="C14" s="6">
        <v>13556349800.25</v>
      </c>
      <c r="D14" s="6"/>
      <c r="E14" s="6"/>
      <c r="F14" s="6"/>
    </row>
    <row r="15" spans="1:9" ht="14" thickBot="1" x14ac:dyDescent="0.35"/>
    <row r="16" spans="1:9" x14ac:dyDescent="0.3">
      <c r="A16" s="7"/>
      <c r="B16" s="7" t="s">
        <v>80</v>
      </c>
      <c r="C16" s="7" t="s">
        <v>68</v>
      </c>
      <c r="D16" s="7" t="s">
        <v>81</v>
      </c>
      <c r="E16" s="7" t="s">
        <v>82</v>
      </c>
      <c r="F16" s="7" t="s">
        <v>83</v>
      </c>
      <c r="G16" s="7" t="s">
        <v>84</v>
      </c>
      <c r="H16" s="7" t="s">
        <v>85</v>
      </c>
      <c r="I16" s="7" t="s">
        <v>86</v>
      </c>
    </row>
    <row r="17" spans="1:9" x14ac:dyDescent="0.3">
      <c r="A17" t="s">
        <v>74</v>
      </c>
      <c r="B17">
        <v>1212.8768613854336</v>
      </c>
      <c r="C17">
        <v>12794.489373367192</v>
      </c>
      <c r="D17">
        <v>9.4796816503684697E-2</v>
      </c>
      <c r="E17">
        <v>0.92634885634055386</v>
      </c>
      <c r="F17">
        <v>-27295.02200273953</v>
      </c>
      <c r="G17">
        <v>29720.775725510397</v>
      </c>
      <c r="H17">
        <v>-27295.02200273953</v>
      </c>
      <c r="I17">
        <v>29720.775725510397</v>
      </c>
    </row>
    <row r="18" spans="1:9" ht="14" thickBot="1" x14ac:dyDescent="0.35">
      <c r="A18" s="6" t="s">
        <v>110</v>
      </c>
      <c r="B18" s="6">
        <v>147.80685015084637</v>
      </c>
      <c r="C18" s="6">
        <v>23.522120341918701</v>
      </c>
      <c r="D18" s="6">
        <v>6.2837383706196004</v>
      </c>
      <c r="E18" s="6">
        <v>9.0979653255620873E-5</v>
      </c>
      <c r="F18" s="6">
        <v>95.396299935920638</v>
      </c>
      <c r="G18" s="6">
        <v>200.21740036577211</v>
      </c>
      <c r="H18" s="6">
        <v>95.396299935920638</v>
      </c>
      <c r="I18" s="6">
        <v>200.21740036577211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E1D8-E5E4-4A69-852D-46349333CA28}">
  <dimension ref="A1:O13"/>
  <sheetViews>
    <sheetView workbookViewId="0">
      <selection activeCell="C17" sqref="C17"/>
    </sheetView>
  </sheetViews>
  <sheetFormatPr defaultRowHeight="13.5" x14ac:dyDescent="0.3"/>
  <cols>
    <col min="1" max="1" width="27.84375" customWidth="1"/>
  </cols>
  <sheetData>
    <row r="1" spans="1:15" s="46" customFormat="1" ht="29" x14ac:dyDescent="0.35">
      <c r="A1" s="45" t="s">
        <v>45</v>
      </c>
      <c r="B1" s="45" t="s">
        <v>30</v>
      </c>
      <c r="C1" s="45" t="s">
        <v>186</v>
      </c>
      <c r="D1" s="45" t="s">
        <v>62</v>
      </c>
      <c r="E1" s="45" t="s">
        <v>110</v>
      </c>
      <c r="F1" s="49" t="s">
        <v>206</v>
      </c>
      <c r="G1" s="48"/>
      <c r="H1" s="48"/>
      <c r="I1" s="48"/>
      <c r="J1" s="48"/>
      <c r="K1" s="48"/>
      <c r="L1" s="48"/>
      <c r="M1" s="48"/>
      <c r="N1" s="48"/>
      <c r="O1" s="48"/>
    </row>
    <row r="2" spans="1:15" s="46" customFormat="1" ht="14.5" x14ac:dyDescent="0.35">
      <c r="A2" s="46" t="s">
        <v>51</v>
      </c>
      <c r="B2" s="46" t="s">
        <v>13</v>
      </c>
      <c r="C2" s="46" t="s">
        <v>187</v>
      </c>
      <c r="D2" s="47">
        <v>41500</v>
      </c>
      <c r="E2" s="47">
        <f>VLOOKUP(A2, Data!$A$2:$Z$46, 23, FALSE)</f>
        <v>290</v>
      </c>
      <c r="F2" s="46" t="s">
        <v>187</v>
      </c>
    </row>
    <row r="3" spans="1:15" s="46" customFormat="1" ht="14.5" x14ac:dyDescent="0.35">
      <c r="A3" s="46" t="s">
        <v>36</v>
      </c>
      <c r="B3" s="46" t="s">
        <v>20</v>
      </c>
      <c r="C3" s="46" t="s">
        <v>187</v>
      </c>
      <c r="D3" s="47">
        <v>41530</v>
      </c>
      <c r="E3" s="47">
        <f>VLOOKUP(A3, Data!$A$2:$Z$46, 23, FALSE)</f>
        <v>330</v>
      </c>
      <c r="F3" s="46" t="s">
        <v>187</v>
      </c>
    </row>
    <row r="4" spans="1:15" s="46" customFormat="1" ht="14.5" x14ac:dyDescent="0.35">
      <c r="A4" s="46" t="s">
        <v>53</v>
      </c>
      <c r="B4" s="46" t="s">
        <v>13</v>
      </c>
      <c r="C4" s="46" t="s">
        <v>187</v>
      </c>
      <c r="D4" s="47">
        <v>77289</v>
      </c>
      <c r="E4" s="47">
        <f>VLOOKUP(A4, Data!$A$2:$Z$46, 23, FALSE)</f>
        <v>335</v>
      </c>
      <c r="F4" s="46" t="s">
        <v>187</v>
      </c>
    </row>
    <row r="5" spans="1:15" s="46" customFormat="1" ht="14.5" x14ac:dyDescent="0.35">
      <c r="A5" s="46" t="s">
        <v>40</v>
      </c>
      <c r="B5" s="46" t="s">
        <v>20</v>
      </c>
      <c r="C5" s="46" t="s">
        <v>187</v>
      </c>
      <c r="D5" s="47">
        <v>63348</v>
      </c>
      <c r="E5" s="47">
        <f>VLOOKUP(A5, Data!$A$2:$Z$46, 23, FALSE)</f>
        <v>350</v>
      </c>
      <c r="F5" s="46" t="s">
        <v>187</v>
      </c>
    </row>
    <row r="6" spans="1:15" s="46" customFormat="1" ht="14.5" x14ac:dyDescent="0.35">
      <c r="A6" s="46" t="s">
        <v>52</v>
      </c>
      <c r="B6" s="46" t="s">
        <v>13</v>
      </c>
      <c r="C6" s="46" t="s">
        <v>187</v>
      </c>
      <c r="D6" s="47">
        <v>59000</v>
      </c>
      <c r="E6" s="47">
        <f>VLOOKUP(A6, Data!$A$2:$Z$46, 23, FALSE)</f>
        <v>375</v>
      </c>
      <c r="F6" s="46" t="s">
        <v>187</v>
      </c>
    </row>
    <row r="7" spans="1:15" s="46" customFormat="1" ht="14.5" x14ac:dyDescent="0.35">
      <c r="A7" s="46" t="s">
        <v>39</v>
      </c>
      <c r="B7" s="46" t="s">
        <v>20</v>
      </c>
      <c r="C7" s="46" t="s">
        <v>187</v>
      </c>
      <c r="D7" s="47">
        <v>51082</v>
      </c>
      <c r="E7" s="47">
        <f>VLOOKUP(A7, Data!$A$2:$Z$46, 23, FALSE)</f>
        <v>410</v>
      </c>
      <c r="F7" s="46" t="s">
        <v>187</v>
      </c>
    </row>
    <row r="8" spans="1:15" s="46" customFormat="1" ht="14.5" x14ac:dyDescent="0.35">
      <c r="A8" s="46" t="s">
        <v>190</v>
      </c>
      <c r="B8" s="46" t="s">
        <v>27</v>
      </c>
      <c r="C8" s="46" t="s">
        <v>188</v>
      </c>
      <c r="D8" s="47">
        <v>64755</v>
      </c>
      <c r="E8" s="47">
        <f>VLOOKUP(A8, Data!$A$2:$Z$46, 23, FALSE)</f>
        <v>425</v>
      </c>
      <c r="F8" s="46" t="s">
        <v>187</v>
      </c>
    </row>
    <row r="9" spans="1:15" s="46" customFormat="1" ht="14.5" x14ac:dyDescent="0.35">
      <c r="A9" s="46" t="s">
        <v>18</v>
      </c>
      <c r="B9" s="46" t="s">
        <v>15</v>
      </c>
      <c r="C9" s="46" t="s">
        <v>187</v>
      </c>
      <c r="D9" s="47">
        <v>83828</v>
      </c>
      <c r="E9" s="47">
        <f>VLOOKUP(A9, Data!$A$2:$Z$46, 23, FALSE)</f>
        <v>545</v>
      </c>
      <c r="F9" s="46" t="s">
        <v>187</v>
      </c>
    </row>
    <row r="10" spans="1:15" s="46" customFormat="1" ht="14.5" x14ac:dyDescent="0.35">
      <c r="A10" s="46" t="s">
        <v>44</v>
      </c>
      <c r="B10" s="46" t="s">
        <v>20</v>
      </c>
      <c r="C10" s="46" t="s">
        <v>187</v>
      </c>
      <c r="D10" s="47">
        <v>69733</v>
      </c>
      <c r="E10" s="47">
        <f>VLOOKUP(A10, Data!$A$2:$Z$46, 23, FALSE)</f>
        <v>565</v>
      </c>
      <c r="F10" s="46" t="s">
        <v>187</v>
      </c>
    </row>
    <row r="11" spans="1:15" s="46" customFormat="1" ht="14.5" x14ac:dyDescent="0.35">
      <c r="A11" s="46" t="s">
        <v>54</v>
      </c>
      <c r="B11" s="46" t="s">
        <v>13</v>
      </c>
      <c r="C11" s="46" t="s">
        <v>187</v>
      </c>
      <c r="D11" s="47">
        <v>101981</v>
      </c>
      <c r="E11" s="47">
        <v>685</v>
      </c>
      <c r="F11" s="46" t="s">
        <v>187</v>
      </c>
    </row>
    <row r="12" spans="1:15" s="46" customFormat="1" ht="14.5" x14ac:dyDescent="0.35">
      <c r="A12" s="46" t="s">
        <v>9</v>
      </c>
      <c r="B12" s="46" t="s">
        <v>6</v>
      </c>
      <c r="C12" s="46" t="s">
        <v>187</v>
      </c>
      <c r="D12" s="47">
        <v>83860</v>
      </c>
      <c r="E12" s="47">
        <v>760</v>
      </c>
      <c r="F12" s="46" t="s">
        <v>187</v>
      </c>
    </row>
    <row r="13" spans="1:15" s="46" customFormat="1" ht="14.5" x14ac:dyDescent="0.35">
      <c r="A13" s="46" t="s">
        <v>50</v>
      </c>
      <c r="B13" s="46" t="s">
        <v>12</v>
      </c>
      <c r="C13" s="46" t="s">
        <v>187</v>
      </c>
      <c r="D13" s="47">
        <v>171619</v>
      </c>
      <c r="E13" s="47">
        <f>VLOOKUP(A13, Data!$A$2:$Z$46, 23, FALSE)</f>
        <v>985</v>
      </c>
      <c r="F13" s="46" t="s">
        <v>187</v>
      </c>
    </row>
  </sheetData>
  <conditionalFormatting sqref="H2:H13">
    <cfRule type="cellIs" dxfId="1" priority="1" operator="equal">
      <formula>TRUE</formula>
    </cfRule>
  </conditionalFormatting>
  <conditionalFormatting sqref="J2:M13">
    <cfRule type="cellIs" dxfId="0" priority="2" operator="equal">
      <formula>TRUE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b2fb32-6bf6-4cfa-aa81-277df51bcc6a}" enabled="1" method="Privilege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Weighting Reg Results</vt:lpstr>
      <vt:lpstr>Points Schedule</vt:lpstr>
      <vt:lpstr>Clusters</vt:lpstr>
      <vt:lpstr>Data</vt:lpstr>
      <vt:lpstr>Benchmarks</vt:lpstr>
      <vt:lpstr>Benchmark-Points Regression</vt:lpstr>
      <vt:lpstr>Internal-Points Regression</vt:lpstr>
      <vt:lpstr>Pay Structure</vt:lpstr>
      <vt:lpstr>Internal Compa-ratios</vt:lpstr>
      <vt:lpstr>Benchmarking Calculations</vt:lpstr>
      <vt:lpstr>Internal vs External compa</vt:lpstr>
      <vt:lpstr>Budget</vt:lpstr>
      <vt:lpstr>Pay Equity</vt:lpstr>
      <vt:lpstr>PV Regression Results</vt:lpstr>
      <vt:lpstr>PV Regression Data</vt:lpstr>
    </vt:vector>
  </TitlesOfParts>
  <Company>Queen's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Riddell</dc:creator>
  <cp:lastModifiedBy>Jingda Li</cp:lastModifiedBy>
  <dcterms:created xsi:type="dcterms:W3CDTF">2012-02-09T18:40:45Z</dcterms:created>
  <dcterms:modified xsi:type="dcterms:W3CDTF">2026-02-17T10:18:15Z</dcterms:modified>
</cp:coreProperties>
</file>